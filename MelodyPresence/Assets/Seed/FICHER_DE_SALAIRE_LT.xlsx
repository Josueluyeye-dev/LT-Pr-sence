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13e482d7cf3792/Desktop/"/>
    </mc:Choice>
  </mc:AlternateContent>
  <xr:revisionPtr revIDLastSave="0" documentId="8_{89D2F383-5A2A-4C1C-AC5E-CA8F3F053E99}" xr6:coauthVersionLast="47" xr6:coauthVersionMax="47" xr10:uidLastSave="{00000000-0000-0000-0000-000000000000}"/>
  <bookViews>
    <workbookView xWindow="-108" yWindow="-108" windowWidth="23256" windowHeight="12456" xr2:uid="{101C2179-22DD-45B0-A9E2-A2CBF6D3987C}"/>
  </bookViews>
  <sheets>
    <sheet name="SALAIRE ET TAXE " sheetId="1" r:id="rId1"/>
    <sheet name="SM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1" l="1"/>
  <c r="I57" i="1"/>
  <c r="G56" i="1"/>
  <c r="M56" i="1" s="1"/>
  <c r="O56" i="1" s="1"/>
  <c r="G55" i="1"/>
  <c r="M55" i="1" s="1"/>
  <c r="O55" i="1" s="1"/>
  <c r="G54" i="1"/>
  <c r="M54" i="1" s="1"/>
  <c r="O54" i="1" s="1"/>
  <c r="G53" i="1"/>
  <c r="M53" i="1" s="1"/>
  <c r="O53" i="1" s="1"/>
  <c r="G52" i="1"/>
  <c r="M52" i="1" s="1"/>
  <c r="O52" i="1" s="1"/>
  <c r="G51" i="1"/>
  <c r="M51" i="1" s="1"/>
  <c r="O51" i="1" s="1"/>
  <c r="G50" i="1"/>
  <c r="M50" i="1" s="1"/>
  <c r="O50" i="1" s="1"/>
  <c r="G49" i="1"/>
  <c r="M49" i="1" s="1"/>
  <c r="O49" i="1" s="1"/>
  <c r="G48" i="1"/>
  <c r="M48" i="1" s="1"/>
  <c r="O48" i="1" s="1"/>
  <c r="G47" i="1"/>
  <c r="M47" i="1" s="1"/>
  <c r="O47" i="1" s="1"/>
  <c r="G46" i="1"/>
  <c r="M46" i="1" s="1"/>
  <c r="O46" i="1" s="1"/>
  <c r="G45" i="1"/>
  <c r="M45" i="1" s="1"/>
  <c r="O45" i="1" s="1"/>
  <c r="G44" i="1"/>
  <c r="M44" i="1" s="1"/>
  <c r="O44" i="1" s="1"/>
  <c r="G43" i="1"/>
  <c r="M43" i="1" s="1"/>
  <c r="O43" i="1" s="1"/>
  <c r="G42" i="1"/>
  <c r="M42" i="1" s="1"/>
  <c r="O42" i="1" s="1"/>
  <c r="G41" i="1"/>
  <c r="M41" i="1" s="1"/>
  <c r="O41" i="1" s="1"/>
  <c r="G40" i="1"/>
  <c r="M40" i="1" s="1"/>
  <c r="O40" i="1" s="1"/>
  <c r="G39" i="1"/>
  <c r="M39" i="1" s="1"/>
  <c r="O39" i="1" s="1"/>
  <c r="G38" i="1"/>
  <c r="M38" i="1" s="1"/>
  <c r="O38" i="1" s="1"/>
  <c r="G37" i="1"/>
  <c r="M37" i="1" s="1"/>
  <c r="O37" i="1" s="1"/>
  <c r="G36" i="1"/>
  <c r="M36" i="1" s="1"/>
  <c r="O36" i="1" s="1"/>
  <c r="G35" i="1"/>
  <c r="M35" i="1" s="1"/>
  <c r="O35" i="1" s="1"/>
  <c r="G34" i="1"/>
  <c r="M34" i="1" s="1"/>
  <c r="O34" i="1" s="1"/>
  <c r="G33" i="1"/>
  <c r="M33" i="1" s="1"/>
  <c r="O33" i="1" s="1"/>
  <c r="G32" i="1"/>
  <c r="M32" i="1" s="1"/>
  <c r="O32" i="1" s="1"/>
  <c r="G31" i="1"/>
  <c r="M31" i="1" s="1"/>
  <c r="O31" i="1" s="1"/>
  <c r="G30" i="1"/>
  <c r="M30" i="1" s="1"/>
  <c r="O30" i="1" s="1"/>
  <c r="G29" i="1"/>
  <c r="M29" i="1" s="1"/>
  <c r="O29" i="1" s="1"/>
  <c r="G28" i="1"/>
  <c r="M28" i="1" s="1"/>
  <c r="O28" i="1" s="1"/>
  <c r="G27" i="1"/>
  <c r="M27" i="1" s="1"/>
  <c r="O27" i="1" s="1"/>
  <c r="G26" i="1"/>
  <c r="M26" i="1" s="1"/>
  <c r="O26" i="1" s="1"/>
  <c r="G25" i="1"/>
  <c r="M25" i="1" s="1"/>
  <c r="O25" i="1" s="1"/>
  <c r="G24" i="1"/>
  <c r="M24" i="1" s="1"/>
  <c r="O24" i="1" s="1"/>
  <c r="G23" i="1"/>
  <c r="M23" i="1" s="1"/>
  <c r="O23" i="1" s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M8" i="1" s="1"/>
  <c r="O8" i="1" s="1"/>
  <c r="S8" i="1" l="1"/>
  <c r="R8" i="1"/>
  <c r="Q8" i="1"/>
  <c r="P8" i="1"/>
  <c r="G57" i="1"/>
  <c r="H9" i="1"/>
  <c r="H10" i="1"/>
  <c r="M10" i="1" s="1"/>
  <c r="O10" i="1" s="1"/>
  <c r="H11" i="1"/>
  <c r="M11" i="1" s="1"/>
  <c r="O11" i="1" s="1"/>
  <c r="H12" i="1"/>
  <c r="M12" i="1" s="1"/>
  <c r="O12" i="1" s="1"/>
  <c r="H13" i="1"/>
  <c r="M13" i="1" s="1"/>
  <c r="O13" i="1" s="1"/>
  <c r="H14" i="1"/>
  <c r="M14" i="1" s="1"/>
  <c r="O14" i="1" s="1"/>
  <c r="H15" i="1"/>
  <c r="M15" i="1" s="1"/>
  <c r="O15" i="1" s="1"/>
  <c r="H16" i="1"/>
  <c r="M16" i="1" s="1"/>
  <c r="O16" i="1" s="1"/>
  <c r="H17" i="1"/>
  <c r="M17" i="1" s="1"/>
  <c r="O17" i="1" s="1"/>
  <c r="H18" i="1"/>
  <c r="M18" i="1" s="1"/>
  <c r="O18" i="1" s="1"/>
  <c r="H19" i="1"/>
  <c r="M19" i="1" s="1"/>
  <c r="O19" i="1" s="1"/>
  <c r="H20" i="1"/>
  <c r="M20" i="1" s="1"/>
  <c r="O20" i="1" s="1"/>
  <c r="L21" i="1"/>
  <c r="H21" i="1"/>
  <c r="M21" i="1" s="1"/>
  <c r="O21" i="1" s="1"/>
  <c r="L22" i="1"/>
  <c r="H22" i="1"/>
  <c r="M22" i="1" s="1"/>
  <c r="O22" i="1" s="1"/>
  <c r="S23" i="1"/>
  <c r="R23" i="1"/>
  <c r="Q23" i="1"/>
  <c r="P23" i="1"/>
  <c r="S24" i="1"/>
  <c r="R24" i="1"/>
  <c r="Q24" i="1"/>
  <c r="P24" i="1"/>
  <c r="S25" i="1"/>
  <c r="R25" i="1"/>
  <c r="Q25" i="1"/>
  <c r="P25" i="1"/>
  <c r="S26" i="1"/>
  <c r="R26" i="1"/>
  <c r="Q26" i="1"/>
  <c r="P26" i="1"/>
  <c r="S27" i="1"/>
  <c r="R27" i="1"/>
  <c r="Q27" i="1"/>
  <c r="P27" i="1"/>
  <c r="S28" i="1"/>
  <c r="R28" i="1"/>
  <c r="Q28" i="1"/>
  <c r="P28" i="1"/>
  <c r="S29" i="1"/>
  <c r="R29" i="1"/>
  <c r="Q29" i="1"/>
  <c r="P29" i="1"/>
  <c r="S30" i="1"/>
  <c r="R30" i="1"/>
  <c r="Q30" i="1"/>
  <c r="P30" i="1"/>
  <c r="S31" i="1"/>
  <c r="R31" i="1"/>
  <c r="Q31" i="1"/>
  <c r="P31" i="1"/>
  <c r="S32" i="1"/>
  <c r="R32" i="1"/>
  <c r="Q32" i="1"/>
  <c r="P32" i="1"/>
  <c r="S33" i="1"/>
  <c r="R33" i="1"/>
  <c r="Q33" i="1"/>
  <c r="P33" i="1"/>
  <c r="S34" i="1"/>
  <c r="R34" i="1"/>
  <c r="Q34" i="1"/>
  <c r="P34" i="1"/>
  <c r="S35" i="1"/>
  <c r="R35" i="1"/>
  <c r="Q35" i="1"/>
  <c r="P35" i="1"/>
  <c r="S36" i="1"/>
  <c r="R36" i="1"/>
  <c r="Q36" i="1"/>
  <c r="P36" i="1"/>
  <c r="S37" i="1"/>
  <c r="R37" i="1"/>
  <c r="Q37" i="1"/>
  <c r="P37" i="1"/>
  <c r="S38" i="1"/>
  <c r="R38" i="1"/>
  <c r="Q38" i="1"/>
  <c r="P38" i="1"/>
  <c r="S39" i="1"/>
  <c r="R39" i="1"/>
  <c r="Q39" i="1"/>
  <c r="P39" i="1"/>
  <c r="S40" i="1"/>
  <c r="R40" i="1"/>
  <c r="Q40" i="1"/>
  <c r="P40" i="1"/>
  <c r="S41" i="1"/>
  <c r="R41" i="1"/>
  <c r="Q41" i="1"/>
  <c r="P41" i="1"/>
  <c r="S42" i="1"/>
  <c r="R42" i="1"/>
  <c r="Q42" i="1"/>
  <c r="P42" i="1"/>
  <c r="S43" i="1"/>
  <c r="R43" i="1"/>
  <c r="Q43" i="1"/>
  <c r="P43" i="1"/>
  <c r="S44" i="1"/>
  <c r="R44" i="1"/>
  <c r="Q44" i="1"/>
  <c r="P44" i="1"/>
  <c r="S45" i="1"/>
  <c r="R45" i="1"/>
  <c r="Q45" i="1"/>
  <c r="P45" i="1"/>
  <c r="S46" i="1"/>
  <c r="R46" i="1"/>
  <c r="Q46" i="1"/>
  <c r="P46" i="1"/>
  <c r="S47" i="1"/>
  <c r="R47" i="1"/>
  <c r="Q47" i="1"/>
  <c r="P47" i="1"/>
  <c r="S48" i="1"/>
  <c r="R48" i="1"/>
  <c r="Q48" i="1"/>
  <c r="P48" i="1"/>
  <c r="S49" i="1"/>
  <c r="R49" i="1"/>
  <c r="Q49" i="1"/>
  <c r="P49" i="1"/>
  <c r="S50" i="1"/>
  <c r="R50" i="1"/>
  <c r="Q50" i="1"/>
  <c r="P50" i="1"/>
  <c r="S51" i="1"/>
  <c r="R51" i="1"/>
  <c r="Q51" i="1"/>
  <c r="P51" i="1"/>
  <c r="S52" i="1"/>
  <c r="R52" i="1"/>
  <c r="Q52" i="1"/>
  <c r="P52" i="1"/>
  <c r="S53" i="1"/>
  <c r="R53" i="1"/>
  <c r="Q53" i="1"/>
  <c r="P53" i="1"/>
  <c r="S54" i="1"/>
  <c r="R54" i="1"/>
  <c r="Q54" i="1"/>
  <c r="P54" i="1"/>
  <c r="S55" i="1"/>
  <c r="R55" i="1"/>
  <c r="Q55" i="1"/>
  <c r="P55" i="1"/>
  <c r="S56" i="1"/>
  <c r="R56" i="1"/>
  <c r="Q56" i="1"/>
  <c r="P56" i="1"/>
  <c r="S22" i="1" l="1"/>
  <c r="R22" i="1"/>
  <c r="Q22" i="1"/>
  <c r="P22" i="1"/>
  <c r="S21" i="1"/>
  <c r="R21" i="1"/>
  <c r="Q21" i="1"/>
  <c r="P21" i="1"/>
  <c r="S20" i="1"/>
  <c r="R20" i="1"/>
  <c r="Q20" i="1"/>
  <c r="P20" i="1"/>
  <c r="S19" i="1"/>
  <c r="R19" i="1"/>
  <c r="Q19" i="1"/>
  <c r="P19" i="1"/>
  <c r="S18" i="1"/>
  <c r="R18" i="1"/>
  <c r="Q18" i="1"/>
  <c r="P18" i="1"/>
  <c r="S17" i="1"/>
  <c r="R17" i="1"/>
  <c r="Q17" i="1"/>
  <c r="P17" i="1"/>
  <c r="S16" i="1"/>
  <c r="R16" i="1"/>
  <c r="Q16" i="1"/>
  <c r="P16" i="1"/>
  <c r="S15" i="1"/>
  <c r="R15" i="1"/>
  <c r="Q15" i="1"/>
  <c r="P15" i="1"/>
  <c r="S14" i="1"/>
  <c r="R14" i="1"/>
  <c r="Q14" i="1"/>
  <c r="P14" i="1"/>
  <c r="S13" i="1"/>
  <c r="R13" i="1"/>
  <c r="Q13" i="1"/>
  <c r="P13" i="1"/>
  <c r="S12" i="1"/>
  <c r="R12" i="1"/>
  <c r="Q12" i="1"/>
  <c r="P12" i="1"/>
  <c r="S11" i="1"/>
  <c r="R11" i="1"/>
  <c r="Q11" i="1"/>
  <c r="P11" i="1"/>
  <c r="S10" i="1"/>
  <c r="R10" i="1"/>
  <c r="Q10" i="1"/>
  <c r="P10" i="1"/>
  <c r="H57" i="1"/>
  <c r="M9" i="1"/>
  <c r="O9" i="1" s="1"/>
  <c r="M57" i="1"/>
  <c r="O57" i="1" l="1"/>
  <c r="P57" i="1" s="1"/>
  <c r="S9" i="1"/>
  <c r="S57" i="1" s="1"/>
  <c r="R9" i="1"/>
  <c r="R57" i="1" s="1"/>
  <c r="Q9" i="1"/>
  <c r="Q57" i="1" s="1"/>
  <c r="P9" i="1"/>
  <c r="F64" i="1" l="1"/>
  <c r="H64" i="1" s="1"/>
  <c r="Q58" i="1"/>
  <c r="F65" i="1"/>
  <c r="H65" i="1" s="1"/>
  <c r="R58" i="1"/>
  <c r="F66" i="1"/>
  <c r="H66" i="1" s="1"/>
  <c r="S58" i="1"/>
  <c r="J65" i="1" l="1"/>
</calcChain>
</file>

<file path=xl/sharedStrings.xml><?xml version="1.0" encoding="utf-8"?>
<sst xmlns="http://schemas.openxmlformats.org/spreadsheetml/2006/main" count="214" uniqueCount="155">
  <si>
    <r>
      <rPr>
        <sz val="12"/>
        <color rgb="FFFF0000"/>
        <rFont val="Arial Black"/>
        <family val="2"/>
      </rPr>
      <t>LTS</t>
    </r>
    <r>
      <rPr>
        <sz val="12"/>
        <color theme="1"/>
        <rFont val="Arial Black"/>
        <family val="2"/>
      </rPr>
      <t>ERVICES sarl</t>
    </r>
  </si>
  <si>
    <t>1, Av de l' OUA C/NGALIEMA</t>
  </si>
  <si>
    <t xml:space="preserve"> </t>
  </si>
  <si>
    <t xml:space="preserve">N° CNSS  :  1001735300 </t>
  </si>
  <si>
    <t>FICHE IMPOTS &amp; COTISATION MOIS DE JANVIER 2026</t>
  </si>
  <si>
    <t xml:space="preserve">Nbre </t>
  </si>
  <si>
    <t>NOM &amp; POST NOM</t>
  </si>
  <si>
    <t>FONCTION</t>
  </si>
  <si>
    <t>CATEGORIE</t>
  </si>
  <si>
    <t>SMIG 2025</t>
  </si>
  <si>
    <t>TENSION</t>
  </si>
  <si>
    <t>SAL BASE/Jr</t>
  </si>
  <si>
    <t>ANNUITE/Jr</t>
  </si>
  <si>
    <t xml:space="preserve">TRANSPORT/JOUR </t>
  </si>
  <si>
    <t xml:space="preserve">LOGEMENT/JOUR </t>
  </si>
  <si>
    <t>Nbr D'ENFANT</t>
  </si>
  <si>
    <t>ALFA/JOUR</t>
  </si>
  <si>
    <t xml:space="preserve">TOTAL </t>
  </si>
  <si>
    <t>Nbre de Jr</t>
  </si>
  <si>
    <t>Salaire mensuel en FC</t>
  </si>
  <si>
    <t>Brut imposable CNSS</t>
  </si>
  <si>
    <t>IPR   15%</t>
  </si>
  <si>
    <t>CNSS   18%</t>
  </si>
  <si>
    <t>INPP  3%</t>
  </si>
  <si>
    <t xml:space="preserve">SAMIRA MUNSHI </t>
  </si>
  <si>
    <t xml:space="preserve">GERANTE </t>
  </si>
  <si>
    <t>CC4</t>
  </si>
  <si>
    <t>MONSHEME  MOBUAKIA  JEAN</t>
  </si>
  <si>
    <t>MECANO-CHEF DE GARAGE</t>
  </si>
  <si>
    <t>Q1</t>
  </si>
  <si>
    <t>BRUNCLAIR XAVIER Benjamin</t>
  </si>
  <si>
    <t>MECANO CHEF ADJOINT</t>
  </si>
  <si>
    <t>KABAKA PINDI Jean</t>
  </si>
  <si>
    <t>MECANICIEN</t>
  </si>
  <si>
    <t>TS</t>
  </si>
  <si>
    <t>BABA WAWA Doudou</t>
  </si>
  <si>
    <t>LUYEYE NDONGALA Rodin</t>
  </si>
  <si>
    <t>KASA BOSOMI Toussaint</t>
  </si>
  <si>
    <t>MUTOMBO NKATE Reagan</t>
  </si>
  <si>
    <t xml:space="preserve">HENOCK LUYEYE </t>
  </si>
  <si>
    <t>MPUTU LUFU CHELA</t>
  </si>
  <si>
    <t>METO MAHIKA APOLINAIRE</t>
  </si>
  <si>
    <t>MASISA NTILA JEAN</t>
  </si>
  <si>
    <t>MONSHEME GLODY</t>
  </si>
  <si>
    <t>MAMPUYA VUAKA TICHIK</t>
  </si>
  <si>
    <t xml:space="preserve">NKONGOLO JOSEPH </t>
  </si>
  <si>
    <t>NSIONA  WENZI  KANDA André</t>
  </si>
  <si>
    <t>TOLIER EN CHEF</t>
  </si>
  <si>
    <t>SQ2</t>
  </si>
  <si>
    <t xml:space="preserve">MUANGA LANDU Mathonet </t>
  </si>
  <si>
    <t xml:space="preserve">TOLIER </t>
  </si>
  <si>
    <t>NSADI NDANGALA Noel</t>
  </si>
  <si>
    <t xml:space="preserve">TOLIER  </t>
  </si>
  <si>
    <t>NZUZI DIENGA Doudou</t>
  </si>
  <si>
    <t>MABUILA TUSEVO Thomas</t>
  </si>
  <si>
    <t>PEINTRE EN CHEF</t>
  </si>
  <si>
    <t>NZINGA KISEMA Flory</t>
  </si>
  <si>
    <t xml:space="preserve">PEINTRE  </t>
  </si>
  <si>
    <t>KWETUVUKILA MAMBWANA Daniel</t>
  </si>
  <si>
    <t>PEINTRE</t>
  </si>
  <si>
    <t>DITAWILA MIMI NICO</t>
  </si>
  <si>
    <t>PONCEUR</t>
  </si>
  <si>
    <t>NGETA MASIYA Patchely</t>
  </si>
  <si>
    <t>ML</t>
  </si>
  <si>
    <t xml:space="preserve">LEMA PIERRE Heritier </t>
  </si>
  <si>
    <t>PEMBELE JONAS Andy</t>
  </si>
  <si>
    <t>MBUZITU RACHIDI</t>
  </si>
  <si>
    <t xml:space="preserve">BIOY IMONGO Eveline </t>
  </si>
  <si>
    <t>LANDU NDUALU Faguy</t>
  </si>
  <si>
    <t>ELECTRICIEN EN CHEF</t>
  </si>
  <si>
    <t>TSQ1</t>
  </si>
  <si>
    <t>MAVUNGU WILU MAVUNGU Willy</t>
  </si>
  <si>
    <t xml:space="preserve">ELECTRICIEN  </t>
  </si>
  <si>
    <t>BASONGO EALE ELO</t>
  </si>
  <si>
    <t>ELECTRICIEN</t>
  </si>
  <si>
    <t>KALALA MBULUKASU Richard</t>
  </si>
  <si>
    <t>AJUSTEUR</t>
  </si>
  <si>
    <t>178</t>
  </si>
  <si>
    <t>IPALO MVOMONYENE Fabrice</t>
  </si>
  <si>
    <t>MAGASINIER</t>
  </si>
  <si>
    <t>SQ1</t>
  </si>
  <si>
    <t>MVOMONYENE IPALO BRUNO</t>
  </si>
  <si>
    <t>CHAUFFEUR</t>
  </si>
  <si>
    <t xml:space="preserve">MOKILI CHRITIAN </t>
  </si>
  <si>
    <t xml:space="preserve">AGENT DE BUREAU </t>
  </si>
  <si>
    <t>MATUVANGA MAKABI Chrétien</t>
  </si>
  <si>
    <t>MUKADI LUBOYA Trésor</t>
  </si>
  <si>
    <t>SECRETAIRE TECHNIQUE</t>
  </si>
  <si>
    <t>HQ</t>
  </si>
  <si>
    <t>MOKUTU MOTANDA Auguy</t>
  </si>
  <si>
    <t xml:space="preserve">FACTURIER </t>
  </si>
  <si>
    <t xml:space="preserve">KUBANZILA MANZAMBI Merveille   </t>
  </si>
  <si>
    <t>AIDE MAGASIN</t>
  </si>
  <si>
    <t>MO</t>
  </si>
  <si>
    <t>MATONDO WAMBA Sylvie</t>
  </si>
  <si>
    <t>SECRETAIRE CAISSIERE</t>
  </si>
  <si>
    <t>TQ1</t>
  </si>
  <si>
    <t>NTWALA Jacques</t>
  </si>
  <si>
    <t>DT</t>
  </si>
  <si>
    <t>CC1</t>
  </si>
  <si>
    <t>MAKENGO NKISHI Eric</t>
  </si>
  <si>
    <t>DRH</t>
  </si>
  <si>
    <t>MPIRI  MISIRI  Faustin</t>
  </si>
  <si>
    <t>NETTOYEUR VEHICULES</t>
  </si>
  <si>
    <t>DAKA LOKAFO Fiston</t>
  </si>
  <si>
    <t>NETTOYEUR  BUREAU</t>
  </si>
  <si>
    <t xml:space="preserve">MAMBWENI Adolphe </t>
  </si>
  <si>
    <t>NETTOYEUR</t>
  </si>
  <si>
    <t>DJOMBO BOKOLE Jean Bedel</t>
  </si>
  <si>
    <t>KUBIENA MAKAMBILA Ibrahim</t>
  </si>
  <si>
    <t>SUKPENGO NDONDA Jean</t>
  </si>
  <si>
    <t>SURVEILLANT LAVANDIER</t>
  </si>
  <si>
    <t xml:space="preserve">WAZOLANGA Jonathan / Jardinier </t>
  </si>
  <si>
    <t xml:space="preserve">JARDINIER </t>
  </si>
  <si>
    <t xml:space="preserve">ETAT DE BESOIN POUR IMPÔT ET COTISATION MENSUEL </t>
  </si>
  <si>
    <t>IMPÔT IPR DGI   :</t>
  </si>
  <si>
    <t>Cotisation CNSS  :</t>
  </si>
  <si>
    <t>Cotisation INPP  :</t>
  </si>
  <si>
    <t>&lt;</t>
  </si>
  <si>
    <t>CLASSIFICATION GENERALE DES EMPLOIS</t>
  </si>
  <si>
    <t>SECTEUR : COMMERCE</t>
  </si>
  <si>
    <t>Annexe du protocole d'accord du 06 Juin 2025</t>
  </si>
  <si>
    <t xml:space="preserve">CATEGORIE </t>
  </si>
  <si>
    <t xml:space="preserve">ECHELON  </t>
  </si>
  <si>
    <t xml:space="preserve">CLASSE </t>
  </si>
  <si>
    <t xml:space="preserve">TENSION </t>
  </si>
  <si>
    <t>SMIG</t>
  </si>
  <si>
    <t>EMPLOI</t>
  </si>
  <si>
    <t>OBSERVATION PATRONALE</t>
  </si>
  <si>
    <t xml:space="preserve">Manœuvre </t>
  </si>
  <si>
    <t>Ordinaire</t>
  </si>
  <si>
    <t xml:space="preserve">Nettoyeur des bureau </t>
  </si>
  <si>
    <t>Lourd</t>
  </si>
  <si>
    <t xml:space="preserve">Nettoyeur des vehicules, </t>
  </si>
  <si>
    <t>Travailleur spécialisé</t>
  </si>
  <si>
    <t>Receptionniste</t>
  </si>
  <si>
    <t xml:space="preserve">Agent de bureau </t>
  </si>
  <si>
    <t xml:space="preserve">Sentinelle, Cuisinier </t>
  </si>
  <si>
    <t>Travailleur semi qualifié</t>
  </si>
  <si>
    <t>Chauffeur</t>
  </si>
  <si>
    <t xml:space="preserve">Mecano, Tolier, Ponceur, Peintre  </t>
  </si>
  <si>
    <t>Magasinier</t>
  </si>
  <si>
    <t>Travailleur qualifié</t>
  </si>
  <si>
    <t>Secretaire;</t>
  </si>
  <si>
    <t>chef de dépôt (magasin)</t>
  </si>
  <si>
    <t>Facturier; Electricien</t>
  </si>
  <si>
    <t>T, Hautement qualifié</t>
  </si>
  <si>
    <t xml:space="preserve">Caissier </t>
  </si>
  <si>
    <t>Maitrise</t>
  </si>
  <si>
    <t>Chef de garage adjoint</t>
  </si>
  <si>
    <t xml:space="preserve">Chef de garage </t>
  </si>
  <si>
    <t>Cadre de Collaboration</t>
  </si>
  <si>
    <t>Comptable</t>
  </si>
  <si>
    <t>DRH &amp; DT</t>
  </si>
  <si>
    <t xml:space="preserve">Gerante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</si>
</sst>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-* #,##0.00\ _F_C_-;\-* #,##0.00\ _F_C_-;_-* &quot;-&quot;??\ _F_C_-;_-@_-"/>
    <numFmt numFmtId="166" formatCode="#,##0.00\ _€"/>
    <numFmt numFmtId="167" formatCode="#,##0.00\ [$$-C0C];[Red]#,##0.00\ [$$-C0C]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 Black"/>
      <family val="2"/>
    </font>
    <font>
      <sz val="12"/>
      <color rgb="FFFF0000"/>
      <name val="Arial Black"/>
      <family val="2"/>
    </font>
    <font>
      <sz val="9"/>
      <color theme="1"/>
      <name val="Bookman Old Style"/>
      <family val="1"/>
    </font>
    <font>
      <b/>
      <sz val="8"/>
      <color theme="1"/>
      <name val="Arial Black"/>
      <family val="2"/>
    </font>
    <font>
      <b/>
      <u/>
      <sz val="8"/>
      <color theme="1"/>
      <name val="Arial Black"/>
      <family val="2"/>
    </font>
    <font>
      <u/>
      <sz val="9"/>
      <color theme="1"/>
      <name val="Bookman Old Style"/>
      <family val="1"/>
    </font>
    <font>
      <b/>
      <sz val="14"/>
      <color theme="0"/>
      <name val="Arial Black"/>
      <family val="2"/>
    </font>
    <font>
      <b/>
      <sz val="12"/>
      <color theme="0"/>
      <name val="Arial Black"/>
      <family val="2"/>
    </font>
    <font>
      <b/>
      <sz val="9"/>
      <color theme="1"/>
      <name val="Agency FB"/>
      <family val="2"/>
    </font>
    <font>
      <b/>
      <sz val="11"/>
      <color theme="1"/>
      <name val="Agency FB"/>
      <family val="2"/>
    </font>
    <font>
      <b/>
      <sz val="12"/>
      <color theme="1"/>
      <name val="Agency FB"/>
      <family val="2"/>
    </font>
    <font>
      <b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i/>
      <sz val="9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color theme="0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rgb="FFFF0000"/>
      <name val="Aptos Black"/>
      <family val="2"/>
    </font>
    <font>
      <b/>
      <sz val="9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9"/>
      <color rgb="FFFF0000"/>
      <name val="Bookman Old Style"/>
      <family val="1"/>
    </font>
    <font>
      <sz val="14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3">
    <xf numFmtId="0" fontId="0" fillId="0" borderId="0" xfId="0"/>
    <xf numFmtId="1" fontId="3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1" fontId="6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left"/>
    </xf>
    <xf numFmtId="1" fontId="9" fillId="2" borderId="1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/>
    </xf>
    <xf numFmtId="1" fontId="10" fillId="0" borderId="0" xfId="0" applyNumberFormat="1" applyFont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4" fillId="3" borderId="3" xfId="0" applyFont="1" applyFill="1" applyBorder="1"/>
    <xf numFmtId="0" fontId="15" fillId="0" borderId="8" xfId="0" applyFont="1" applyBorder="1"/>
    <xf numFmtId="0" fontId="16" fillId="0" borderId="8" xfId="0" applyFont="1" applyBorder="1" applyAlignment="1">
      <alignment horizontal="center"/>
    </xf>
    <xf numFmtId="43" fontId="16" fillId="0" borderId="8" xfId="1" applyFont="1" applyFill="1" applyBorder="1" applyAlignment="1">
      <alignment horizontal="center"/>
    </xf>
    <xf numFmtId="43" fontId="16" fillId="0" borderId="8" xfId="1" applyFont="1" applyFill="1" applyBorder="1"/>
    <xf numFmtId="0" fontId="16" fillId="0" borderId="8" xfId="1" applyNumberFormat="1" applyFont="1" applyFill="1" applyBorder="1" applyAlignment="1">
      <alignment horizontal="center"/>
    </xf>
    <xf numFmtId="0" fontId="16" fillId="0" borderId="8" xfId="1" applyNumberFormat="1" applyFont="1" applyFill="1" applyBorder="1"/>
    <xf numFmtId="164" fontId="16" fillId="0" borderId="8" xfId="0" applyNumberFormat="1" applyFont="1" applyBorder="1"/>
    <xf numFmtId="165" fontId="16" fillId="4" borderId="8" xfId="0" applyNumberFormat="1" applyFont="1" applyFill="1" applyBorder="1"/>
    <xf numFmtId="165" fontId="16" fillId="4" borderId="1" xfId="0" applyNumberFormat="1" applyFont="1" applyFill="1" applyBorder="1"/>
    <xf numFmtId="0" fontId="17" fillId="3" borderId="3" xfId="0" applyFont="1" applyFill="1" applyBorder="1"/>
    <xf numFmtId="0" fontId="18" fillId="0" borderId="8" xfId="0" applyFont="1" applyBorder="1"/>
    <xf numFmtId="43" fontId="19" fillId="0" borderId="8" xfId="1" applyFont="1" applyFill="1" applyBorder="1"/>
    <xf numFmtId="0" fontId="19" fillId="0" borderId="8" xfId="1" applyNumberFormat="1" applyFont="1" applyFill="1" applyBorder="1" applyAlignment="1">
      <alignment horizontal="center"/>
    </xf>
    <xf numFmtId="0" fontId="19" fillId="0" borderId="8" xfId="1" applyNumberFormat="1" applyFont="1" applyFill="1" applyBorder="1"/>
    <xf numFmtId="164" fontId="19" fillId="0" borderId="8" xfId="0" applyNumberFormat="1" applyFont="1" applyBorder="1"/>
    <xf numFmtId="49" fontId="16" fillId="0" borderId="8" xfId="0" applyNumberFormat="1" applyFont="1" applyBorder="1" applyAlignment="1">
      <alignment horizontal="center"/>
    </xf>
    <xf numFmtId="0" fontId="20" fillId="3" borderId="0" xfId="0" applyFont="1" applyFill="1"/>
    <xf numFmtId="0" fontId="14" fillId="3" borderId="8" xfId="0" applyFont="1" applyFill="1" applyBorder="1"/>
    <xf numFmtId="0" fontId="16" fillId="0" borderId="9" xfId="0" applyFont="1" applyBorder="1" applyAlignment="1">
      <alignment horizontal="center"/>
    </xf>
    <xf numFmtId="43" fontId="16" fillId="0" borderId="9" xfId="1" applyFont="1" applyFill="1" applyBorder="1"/>
    <xf numFmtId="0" fontId="16" fillId="0" borderId="9" xfId="1" applyNumberFormat="1" applyFont="1" applyFill="1" applyBorder="1"/>
    <xf numFmtId="164" fontId="16" fillId="0" borderId="9" xfId="0" applyNumberFormat="1" applyFont="1" applyBorder="1"/>
    <xf numFmtId="165" fontId="16" fillId="4" borderId="9" xfId="0" applyNumberFormat="1" applyFont="1" applyFill="1" applyBorder="1"/>
    <xf numFmtId="165" fontId="16" fillId="4" borderId="10" xfId="0" applyNumberFormat="1" applyFont="1" applyFill="1" applyBorder="1"/>
    <xf numFmtId="0" fontId="2" fillId="5" borderId="11" xfId="0" applyFont="1" applyFill="1" applyBorder="1" applyAlignment="1">
      <alignment horizontal="center" vertical="center"/>
    </xf>
    <xf numFmtId="0" fontId="21" fillId="5" borderId="11" xfId="0" applyFont="1" applyFill="1" applyBorder="1"/>
    <xf numFmtId="0" fontId="22" fillId="2" borderId="9" xfId="0" applyFont="1" applyFill="1" applyBorder="1"/>
    <xf numFmtId="0" fontId="23" fillId="2" borderId="9" xfId="0" applyFont="1" applyFill="1" applyBorder="1" applyAlignment="1">
      <alignment horizontal="center"/>
    </xf>
    <xf numFmtId="43" fontId="21" fillId="2" borderId="9" xfId="1" applyFont="1" applyFill="1" applyBorder="1"/>
    <xf numFmtId="43" fontId="23" fillId="2" borderId="9" xfId="1" applyFont="1" applyFill="1" applyBorder="1"/>
    <xf numFmtId="0" fontId="23" fillId="2" borderId="9" xfId="1" applyNumberFormat="1" applyFont="1" applyFill="1" applyBorder="1"/>
    <xf numFmtId="164" fontId="23" fillId="2" borderId="9" xfId="0" applyNumberFormat="1" applyFont="1" applyFill="1" applyBorder="1"/>
    <xf numFmtId="165" fontId="23" fillId="2" borderId="9" xfId="0" applyNumberFormat="1" applyFont="1" applyFill="1" applyBorder="1"/>
    <xf numFmtId="165" fontId="23" fillId="2" borderId="10" xfId="0" applyNumberFormat="1" applyFont="1" applyFill="1" applyBorder="1"/>
    <xf numFmtId="0" fontId="0" fillId="0" borderId="11" xfId="0" applyBorder="1" applyAlignment="1">
      <alignment horizontal="center" vertical="center"/>
    </xf>
    <xf numFmtId="0" fontId="14" fillId="0" borderId="11" xfId="0" applyFont="1" applyBorder="1"/>
    <xf numFmtId="0" fontId="15" fillId="0" borderId="9" xfId="0" applyFont="1" applyBorder="1"/>
    <xf numFmtId="43" fontId="16" fillId="0" borderId="9" xfId="0" applyNumberFormat="1" applyFont="1" applyBorder="1"/>
    <xf numFmtId="0" fontId="16" fillId="0" borderId="9" xfId="0" applyFont="1" applyBorder="1"/>
    <xf numFmtId="165" fontId="24" fillId="6" borderId="9" xfId="0" applyNumberFormat="1" applyFont="1" applyFill="1" applyBorder="1"/>
    <xf numFmtId="0" fontId="0" fillId="0" borderId="0" xfId="0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7" fillId="0" borderId="8" xfId="0" applyFont="1" applyBorder="1"/>
    <xf numFmtId="166" fontId="25" fillId="0" borderId="8" xfId="0" applyNumberFormat="1" applyFont="1" applyBorder="1" applyAlignment="1">
      <alignment horizontal="right"/>
    </xf>
    <xf numFmtId="167" fontId="28" fillId="0" borderId="8" xfId="0" applyNumberFormat="1" applyFont="1" applyBorder="1"/>
    <xf numFmtId="167" fontId="5" fillId="0" borderId="8" xfId="0" applyNumberFormat="1" applyFont="1" applyBorder="1"/>
    <xf numFmtId="0" fontId="0" fillId="0" borderId="8" xfId="0" applyBorder="1"/>
    <xf numFmtId="167" fontId="0" fillId="2" borderId="8" xfId="0" applyNumberFormat="1" applyFill="1" applyBorder="1"/>
    <xf numFmtId="166" fontId="2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0" fontId="29" fillId="0" borderId="0" xfId="0" applyFont="1" applyAlignment="1">
      <alignment horizontal="center"/>
    </xf>
    <xf numFmtId="0" fontId="30" fillId="0" borderId="16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7" xfId="0" applyFont="1" applyBorder="1" applyAlignment="1">
      <alignment horizontal="left" vertical="center"/>
    </xf>
    <xf numFmtId="0" fontId="31" fillId="0" borderId="18" xfId="0" applyFont="1" applyBorder="1"/>
    <xf numFmtId="0" fontId="31" fillId="0" borderId="18" xfId="0" applyFont="1" applyBorder="1" applyAlignment="1">
      <alignment horizontal="center" vertical="center"/>
    </xf>
    <xf numFmtId="43" fontId="31" fillId="0" borderId="18" xfId="1" applyFont="1" applyBorder="1" applyAlignment="1">
      <alignment horizontal="center" vertical="center"/>
    </xf>
    <xf numFmtId="0" fontId="32" fillId="0" borderId="15" xfId="0" applyFont="1" applyBorder="1"/>
    <xf numFmtId="0" fontId="0" fillId="0" borderId="19" xfId="0" applyBorder="1"/>
    <xf numFmtId="0" fontId="30" fillId="0" borderId="20" xfId="0" applyFont="1" applyBorder="1" applyAlignment="1">
      <alignment horizontal="left" vertical="center"/>
    </xf>
    <xf numFmtId="0" fontId="31" fillId="0" borderId="9" xfId="0" applyFont="1" applyBorder="1"/>
    <xf numFmtId="0" fontId="31" fillId="0" borderId="9" xfId="0" applyFont="1" applyBorder="1" applyAlignment="1">
      <alignment horizontal="center" vertical="center"/>
    </xf>
    <xf numFmtId="43" fontId="31" fillId="0" borderId="9" xfId="1" applyFont="1" applyBorder="1" applyAlignment="1">
      <alignment horizontal="center" vertical="center"/>
    </xf>
    <xf numFmtId="0" fontId="32" fillId="0" borderId="10" xfId="0" applyFont="1" applyBorder="1"/>
    <xf numFmtId="0" fontId="0" fillId="0" borderId="21" xfId="0" applyBorder="1"/>
    <xf numFmtId="0" fontId="30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43" fontId="31" fillId="0" borderId="23" xfId="1" applyFont="1" applyBorder="1" applyAlignment="1">
      <alignment horizontal="center" vertical="center"/>
    </xf>
    <xf numFmtId="0" fontId="32" fillId="0" borderId="24" xfId="0" applyFont="1" applyBorder="1"/>
    <xf numFmtId="0" fontId="0" fillId="0" borderId="25" xfId="0" applyBorder="1"/>
    <xf numFmtId="0" fontId="30" fillId="0" borderId="26" xfId="0" applyFont="1" applyBorder="1" applyAlignment="1">
      <alignment horizontal="left" vertical="center"/>
    </xf>
    <xf numFmtId="0" fontId="31" fillId="0" borderId="27" xfId="0" applyFont="1" applyBorder="1" applyAlignment="1">
      <alignment horizontal="center" vertical="center"/>
    </xf>
    <xf numFmtId="43" fontId="31" fillId="0" borderId="27" xfId="1" applyFont="1" applyBorder="1" applyAlignment="1">
      <alignment horizontal="center" vertical="center"/>
    </xf>
    <xf numFmtId="0" fontId="32" fillId="0" borderId="1" xfId="0" applyFont="1" applyBorder="1"/>
    <xf numFmtId="0" fontId="0" fillId="0" borderId="28" xfId="0" applyBorder="1"/>
    <xf numFmtId="0" fontId="30" fillId="0" borderId="29" xfId="0" applyFont="1" applyBorder="1" applyAlignment="1">
      <alignment horizontal="left" vertical="center"/>
    </xf>
    <xf numFmtId="0" fontId="31" fillId="0" borderId="5" xfId="0" applyFont="1" applyBorder="1" applyAlignment="1">
      <alignment horizontal="center" vertical="center"/>
    </xf>
    <xf numFmtId="43" fontId="31" fillId="0" borderId="5" xfId="1" applyFont="1" applyBorder="1" applyAlignment="1">
      <alignment horizontal="center" vertical="center"/>
    </xf>
    <xf numFmtId="0" fontId="32" fillId="0" borderId="30" xfId="0" applyFont="1" applyBorder="1"/>
    <xf numFmtId="0" fontId="0" fillId="0" borderId="31" xfId="0" applyBorder="1"/>
    <xf numFmtId="0" fontId="31" fillId="0" borderId="32" xfId="0" applyFont="1" applyBorder="1" applyAlignment="1">
      <alignment horizontal="center" vertical="center"/>
    </xf>
    <xf numFmtId="43" fontId="31" fillId="0" borderId="32" xfId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43" fontId="31" fillId="0" borderId="8" xfId="1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43" fontId="31" fillId="0" borderId="33" xfId="1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43" fontId="31" fillId="0" borderId="18" xfId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43" fontId="31" fillId="0" borderId="9" xfId="1" applyFont="1" applyBorder="1" applyAlignment="1">
      <alignment horizontal="center" vertical="center"/>
    </xf>
    <xf numFmtId="0" fontId="30" fillId="0" borderId="16" xfId="0" applyFont="1" applyBorder="1" applyAlignment="1">
      <alignment horizontal="left"/>
    </xf>
    <xf numFmtId="0" fontId="31" fillId="0" borderId="12" xfId="0" applyFont="1" applyBorder="1" applyAlignment="1">
      <alignment horizontal="center" vertical="center"/>
    </xf>
    <xf numFmtId="43" fontId="31" fillId="0" borderId="12" xfId="1" applyFont="1" applyBorder="1" applyAlignment="1">
      <alignment horizontal="center" vertical="center"/>
    </xf>
    <xf numFmtId="0" fontId="32" fillId="0" borderId="13" xfId="0" applyFont="1" applyBorder="1"/>
    <xf numFmtId="0" fontId="0" fillId="0" borderId="14" xfId="0" applyBorder="1"/>
  </cellXfs>
  <cellStyles count="2">
    <cellStyle name="Milliers" xfId="1" builtinId="3"/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.00\ _F_C_-;\-* #,##0.00\ _F_C_-;_-* &quot;-&quot;??\ _F_C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Black"/>
        <family val="2"/>
        <scheme val="none"/>
      </font>
      <numFmt numFmtId="165" formatCode="_-* #,##0.00\ _F_C_-;\-* #,##0.00\ _F_C_-;_-* &quot;-&quot;??\ _F_C_-;_-@_-"/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.00\ _F_C_-;\-* #,##0.00\ _F_C_-;_-* &quot;-&quot;??\ _F_C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Black"/>
        <family val="2"/>
        <scheme val="none"/>
      </font>
      <numFmt numFmtId="165" formatCode="_-* #,##0.00\ _F_C_-;\-* #,##0.00\ _F_C_-;_-* &quot;-&quot;??\ _F_C_-;_-@_-"/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_-* #,##0.00\ _F_C_-;\-* #,##0.00\ _F_C_-;_-* &quot;-&quot;??\ _F_C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ptos Black"/>
        <family val="2"/>
        <scheme val="none"/>
      </font>
      <numFmt numFmtId="165" formatCode="_-* #,##0.00\ _F_C_-;\-* #,##0.00\ _F_C_-;_-* &quot;-&quot;??\ _F_C_-;_-@_-"/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_-* #,##0.00\ _€_-;\-* #,##0.00\ _€_-;_-* &quot;-&quot;??\ _€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_-* #,##0.00\ _€_-;\-* #,##0.0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_-* #,##0.00\ _€_-;\-* #,##0.00\ _€_-;_-* &quot;-&quot;??\ _€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_-* #,##0.00\ _€_-;\-* #,##0.00\ _€_-;_-* &quot;-&quot;??\ _€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5" formatCode="_-* #,##0.00_-;\-* #,##0.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gency FB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CFCEA-8E6F-4B53-ABE3-D0473AB9BD31}" name="Tableau2" displayName="Tableau2" ref="A7:S58" totalsRowCount="1" headerRowDxfId="39" tableBorderDxfId="38">
  <autoFilter ref="A7:S57" xr:uid="{0E3CFCEA-8E6F-4B53-ABE3-D0473AB9BD31}"/>
  <tableColumns count="19">
    <tableColumn id="1" xr3:uid="{1717D4A1-FA07-42C7-8C70-01BD4ECE7894}" name="Nbre " dataDxfId="36" totalsRowDxfId="37"/>
    <tableColumn id="2" xr3:uid="{E201A962-91F2-46E0-BB7D-94F0F1A28605}" name="NOM &amp; POST NOM" dataDxfId="34" totalsRowDxfId="35"/>
    <tableColumn id="3" xr3:uid="{633F2D18-B64F-46C7-97F6-380A24AA07DA}" name="FONCTION" dataDxfId="32" totalsRowDxfId="33"/>
    <tableColumn id="4" xr3:uid="{9F161243-C104-4860-B446-4AD1DE588E0A}" name="CATEGORIE" dataDxfId="30" totalsRowDxfId="31"/>
    <tableColumn id="5" xr3:uid="{1B143435-482E-46AD-826D-8B590C2950CF}" name="SMIG 2025" dataDxfId="28" totalsRowDxfId="29"/>
    <tableColumn id="6" xr3:uid="{88976837-8FA3-4675-B57F-225F7C8BC892}" name="TENSION" dataDxfId="26" totalsRowDxfId="27"/>
    <tableColumn id="7" xr3:uid="{70DF8BCE-EA90-484D-8D9C-03C65C9A0AE7}" name="SAL BASE/Jr" dataDxfId="24" totalsRowDxfId="25" dataCellStyle="Milliers">
      <calculatedColumnFormula>E8*F8/100</calculatedColumnFormula>
    </tableColumn>
    <tableColumn id="8" xr3:uid="{3C238E4C-B2FE-49A5-959B-B6CFF7412430}" name="ANNUITE/Jr" dataDxfId="22" totalsRowDxfId="23" dataCellStyle="Milliers"/>
    <tableColumn id="9" xr3:uid="{D3F9A139-07E1-4AD0-BAD9-59393282F999}" name="TRANSPORT/JOUR " dataDxfId="20" totalsRowDxfId="21" dataCellStyle="Milliers"/>
    <tableColumn id="10" xr3:uid="{E8366B6D-9253-45B1-9E91-5DB09791C535}" name="LOGEMENT/JOUR " dataDxfId="18" totalsRowDxfId="19" dataCellStyle="Milliers"/>
    <tableColumn id="11" xr3:uid="{0DFF9C64-E9EC-47ED-9D94-368E0AC25EC4}" name="Nbr D'ENFANT" dataDxfId="16" totalsRowDxfId="17" dataCellStyle="Milliers"/>
    <tableColumn id="12" xr3:uid="{38CF5B4A-E093-4583-8CEA-D78CBD4CF2F5}" name="ALFA/JOUR" dataDxfId="14" totalsRowDxfId="15" dataCellStyle="Milliers"/>
    <tableColumn id="13" xr3:uid="{3281CF1B-F5FA-4041-AC1A-3DE980B31FE3}" name="TOTAL " dataDxfId="12" totalsRowDxfId="13" dataCellStyle="Milliers">
      <calculatedColumnFormula>G8+H8+I8+J8+L8</calculatedColumnFormula>
    </tableColumn>
    <tableColumn id="14" xr3:uid="{6F48D5DF-159A-4621-A8E1-B2BA1B8252AC}" name="Nbre de Jr" dataDxfId="10" totalsRowDxfId="11" dataCellStyle="Milliers"/>
    <tableColumn id="15" xr3:uid="{7337937B-7C88-4F1D-8BD5-3D63680D6400}" name="Salaire mensuel en FC" dataDxfId="8" totalsRowDxfId="9">
      <calculatedColumnFormula>M8*N8</calculatedColumnFormula>
    </tableColumn>
    <tableColumn id="16" xr3:uid="{346649C6-943D-4E6B-AF30-72BFCAF7D746}" name="Brut imposable CNSS" dataDxfId="6" totalsRowDxfId="7">
      <calculatedColumnFormula>Tableau2[[#This Row],[Salaire mensuel en FC]]</calculatedColumnFormula>
    </tableColumn>
    <tableColumn id="18" xr3:uid="{42B774C6-EF12-4163-9A2A-1A7EEAFF230E}" name="IPR   15%" totalsRowFunction="custom" dataDxfId="4" totalsRowDxfId="5">
      <calculatedColumnFormula>O8*15/100</calculatedColumnFormula>
      <totalsRowFormula>Q57/2800</totalsRowFormula>
    </tableColumn>
    <tableColumn id="19" xr3:uid="{8E486B69-576E-48D3-B64E-ECACF4BBFB29}" name="CNSS   18%" totalsRowFunction="custom" dataDxfId="2" totalsRowDxfId="3">
      <calculatedColumnFormula>O8*18/100</calculatedColumnFormula>
      <totalsRowFormula>R57/2800</totalsRowFormula>
    </tableColumn>
    <tableColumn id="20" xr3:uid="{D5F0924E-0501-4FFA-9BB3-8A7C9B491A9F}" name="INPP  3%" totalsRowFunction="custom" dataDxfId="0" totalsRowDxfId="1">
      <calculatedColumnFormula>O8*3/100</calculatedColumnFormula>
      <totalsRowFormula>S57/2800</totalsRow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80FF-A697-42EB-872E-701767D2E29E}">
  <dimension ref="A1:T89"/>
  <sheetViews>
    <sheetView tabSelected="1" topLeftCell="B1" workbookViewId="0">
      <selection activeCell="Q2" sqref="Q2"/>
    </sheetView>
  </sheetViews>
  <sheetFormatPr baseColWidth="10" defaultRowHeight="14.4" x14ac:dyDescent="0.3"/>
  <cols>
    <col min="1" max="1" width="5.88671875" style="65" customWidth="1"/>
    <col min="2" max="2" width="27.44140625" customWidth="1"/>
    <col min="3" max="3" width="17.5546875" customWidth="1"/>
    <col min="4" max="4" width="8" customWidth="1"/>
    <col min="5" max="5" width="10.33203125" customWidth="1"/>
    <col min="6" max="6" width="6.5546875" customWidth="1"/>
    <col min="7" max="7" width="11.33203125" customWidth="1"/>
    <col min="8" max="8" width="10.6640625" customWidth="1"/>
    <col min="9" max="9" width="11.6640625" customWidth="1"/>
    <col min="10" max="10" width="11.44140625" customWidth="1"/>
    <col min="11" max="11" width="11.5546875" hidden="1" customWidth="1"/>
    <col min="12" max="12" width="7.109375" customWidth="1"/>
    <col min="13" max="13" width="13.109375" customWidth="1"/>
    <col min="14" max="14" width="9.6640625" customWidth="1"/>
    <col min="15" max="16" width="15.109375" customWidth="1"/>
    <col min="17" max="17" width="14.88671875" bestFit="1" customWidth="1"/>
    <col min="18" max="18" width="15.6640625" bestFit="1" customWidth="1"/>
    <col min="19" max="19" width="14.6640625" customWidth="1"/>
  </cols>
  <sheetData>
    <row r="1" spans="1:20" ht="18.600000000000001" x14ac:dyDescent="0.4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">
      <c r="A2" s="4" t="s">
        <v>1</v>
      </c>
      <c r="B2" s="5"/>
      <c r="C2" s="5"/>
      <c r="D2" s="3"/>
      <c r="E2" s="3"/>
      <c r="F2" s="3"/>
      <c r="G2" s="3"/>
      <c r="H2" s="3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6" t="s">
        <v>3</v>
      </c>
      <c r="B3" s="7"/>
      <c r="C3" s="7"/>
      <c r="D3" s="8"/>
      <c r="E3" s="3"/>
      <c r="F3" s="3"/>
      <c r="G3" s="3"/>
      <c r="H3" s="9"/>
      <c r="I3" s="9"/>
      <c r="J3" s="9"/>
      <c r="K3" s="9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5"/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21" x14ac:dyDescent="0.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13"/>
    </row>
    <row r="7" spans="1:20" ht="44.4" customHeight="1" thickBot="1" x14ac:dyDescent="0.35">
      <c r="A7" s="14" t="s">
        <v>5</v>
      </c>
      <c r="B7" s="15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7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8" t="s">
        <v>18</v>
      </c>
      <c r="O7" s="19" t="s">
        <v>19</v>
      </c>
      <c r="P7" s="20" t="s">
        <v>20</v>
      </c>
      <c r="Q7" s="21" t="s">
        <v>21</v>
      </c>
      <c r="R7" s="21" t="s">
        <v>22</v>
      </c>
      <c r="S7" s="22" t="s">
        <v>23</v>
      </c>
    </row>
    <row r="8" spans="1:20" ht="16.95" customHeight="1" x14ac:dyDescent="0.3">
      <c r="A8" s="23">
        <v>1</v>
      </c>
      <c r="B8" s="24" t="s">
        <v>24</v>
      </c>
      <c r="C8" s="25" t="s">
        <v>25</v>
      </c>
      <c r="D8" s="26" t="s">
        <v>26</v>
      </c>
      <c r="E8" s="27">
        <v>14500</v>
      </c>
      <c r="F8" s="26">
        <v>1000</v>
      </c>
      <c r="G8" s="28">
        <f t="shared" ref="G8" si="0">E8*F8/100</f>
        <v>145000</v>
      </c>
      <c r="H8" s="28">
        <v>4350</v>
      </c>
      <c r="I8" s="28">
        <v>12000</v>
      </c>
      <c r="J8" s="28">
        <v>43500</v>
      </c>
      <c r="K8" s="29"/>
      <c r="L8" s="28"/>
      <c r="M8" s="28">
        <f t="shared" ref="M8:M22" si="1">G8+H8+I8+J8+L8</f>
        <v>204850</v>
      </c>
      <c r="N8" s="30">
        <v>26</v>
      </c>
      <c r="O8" s="31">
        <f t="shared" ref="O8" si="2">M8*N8</f>
        <v>5326100</v>
      </c>
      <c r="P8" s="31">
        <f>Tableau2[[#This Row],[Salaire mensuel en FC]]</f>
        <v>5326100</v>
      </c>
      <c r="Q8" s="32">
        <f t="shared" ref="Q8:Q56" si="3">O8*15/100</f>
        <v>798915</v>
      </c>
      <c r="R8" s="32">
        <f t="shared" ref="R8:R56" si="4">O8*18/100</f>
        <v>958698</v>
      </c>
      <c r="S8" s="33">
        <f t="shared" ref="S8:S56" si="5">O8*3/100</f>
        <v>159783</v>
      </c>
    </row>
    <row r="9" spans="1:20" x14ac:dyDescent="0.3">
      <c r="A9" s="23">
        <v>2</v>
      </c>
      <c r="B9" s="24" t="s">
        <v>27</v>
      </c>
      <c r="C9" s="25" t="s">
        <v>28</v>
      </c>
      <c r="D9" s="26" t="s">
        <v>29</v>
      </c>
      <c r="E9" s="27">
        <v>14500</v>
      </c>
      <c r="F9" s="26">
        <v>237</v>
      </c>
      <c r="G9" s="28">
        <f>E9*F9/100</f>
        <v>34365</v>
      </c>
      <c r="H9" s="28">
        <f>G9*3/100</f>
        <v>1030.95</v>
      </c>
      <c r="I9" s="28">
        <v>9000</v>
      </c>
      <c r="J9" s="28">
        <v>18357</v>
      </c>
      <c r="K9" s="29"/>
      <c r="L9" s="28"/>
      <c r="M9" s="28">
        <f t="shared" si="1"/>
        <v>62752.95</v>
      </c>
      <c r="N9" s="30">
        <v>26</v>
      </c>
      <c r="O9" s="31">
        <f>M9*N9</f>
        <v>1631576.7</v>
      </c>
      <c r="P9" s="31">
        <f>Tableau2[[#This Row],[Salaire mensuel en FC]]</f>
        <v>1631576.7</v>
      </c>
      <c r="Q9" s="32">
        <f t="shared" si="3"/>
        <v>244736.505</v>
      </c>
      <c r="R9" s="32">
        <f t="shared" si="4"/>
        <v>293683.80599999998</v>
      </c>
      <c r="S9" s="33">
        <f t="shared" si="5"/>
        <v>48947.300999999999</v>
      </c>
    </row>
    <row r="10" spans="1:20" x14ac:dyDescent="0.3">
      <c r="A10" s="23">
        <v>3</v>
      </c>
      <c r="B10" s="24" t="s">
        <v>30</v>
      </c>
      <c r="C10" s="25" t="s">
        <v>31</v>
      </c>
      <c r="D10" s="26" t="s">
        <v>29</v>
      </c>
      <c r="E10" s="27">
        <v>14500</v>
      </c>
      <c r="F10" s="26">
        <v>237</v>
      </c>
      <c r="G10" s="28">
        <f t="shared" ref="G10:G22" si="6">E10*F10/100</f>
        <v>34365</v>
      </c>
      <c r="H10" s="28">
        <f t="shared" ref="H10:H22" si="7">G10*3/100</f>
        <v>1030.95</v>
      </c>
      <c r="I10" s="28">
        <v>9000</v>
      </c>
      <c r="J10" s="28">
        <v>18357</v>
      </c>
      <c r="K10" s="29"/>
      <c r="L10" s="28"/>
      <c r="M10" s="28">
        <f t="shared" si="1"/>
        <v>62752.95</v>
      </c>
      <c r="N10" s="30">
        <v>26</v>
      </c>
      <c r="O10" s="31">
        <f t="shared" ref="O10:O56" si="8">M10*N10</f>
        <v>1631576.7</v>
      </c>
      <c r="P10" s="31">
        <f>Tableau2[[#This Row],[Salaire mensuel en FC]]</f>
        <v>1631576.7</v>
      </c>
      <c r="Q10" s="32">
        <f t="shared" si="3"/>
        <v>244736.505</v>
      </c>
      <c r="R10" s="32">
        <f t="shared" si="4"/>
        <v>293683.80599999998</v>
      </c>
      <c r="S10" s="33">
        <f t="shared" si="5"/>
        <v>48947.300999999999</v>
      </c>
    </row>
    <row r="11" spans="1:20" x14ac:dyDescent="0.3">
      <c r="A11" s="23">
        <v>4</v>
      </c>
      <c r="B11" s="24" t="s">
        <v>32</v>
      </c>
      <c r="C11" s="25" t="s">
        <v>33</v>
      </c>
      <c r="D11" s="26" t="s">
        <v>34</v>
      </c>
      <c r="E11" s="27">
        <v>14500</v>
      </c>
      <c r="F11" s="26">
        <v>133</v>
      </c>
      <c r="G11" s="28">
        <f t="shared" si="6"/>
        <v>19285</v>
      </c>
      <c r="H11" s="28">
        <f t="shared" si="7"/>
        <v>578.54999999999995</v>
      </c>
      <c r="I11" s="28">
        <v>6000</v>
      </c>
      <c r="J11" s="28">
        <v>6669</v>
      </c>
      <c r="K11" s="29"/>
      <c r="L11" s="28"/>
      <c r="M11" s="28">
        <f t="shared" si="1"/>
        <v>32532.55</v>
      </c>
      <c r="N11" s="30">
        <v>26</v>
      </c>
      <c r="O11" s="31">
        <f t="shared" si="8"/>
        <v>845846.29999999993</v>
      </c>
      <c r="P11" s="31">
        <f>Tableau2[[#This Row],[Salaire mensuel en FC]]</f>
        <v>845846.29999999993</v>
      </c>
      <c r="Q11" s="32">
        <f t="shared" si="3"/>
        <v>126876.94499999998</v>
      </c>
      <c r="R11" s="32">
        <f t="shared" si="4"/>
        <v>152252.33399999997</v>
      </c>
      <c r="S11" s="33">
        <f t="shared" si="5"/>
        <v>25375.388999999999</v>
      </c>
    </row>
    <row r="12" spans="1:20" x14ac:dyDescent="0.3">
      <c r="A12" s="23">
        <v>5</v>
      </c>
      <c r="B12" s="24" t="s">
        <v>35</v>
      </c>
      <c r="C12" s="25" t="s">
        <v>33</v>
      </c>
      <c r="D12" s="26" t="s">
        <v>34</v>
      </c>
      <c r="E12" s="27">
        <v>14500</v>
      </c>
      <c r="F12" s="26">
        <v>133</v>
      </c>
      <c r="G12" s="28">
        <f t="shared" si="6"/>
        <v>19285</v>
      </c>
      <c r="H12" s="28">
        <f t="shared" si="7"/>
        <v>578.54999999999995</v>
      </c>
      <c r="I12" s="28">
        <v>6000</v>
      </c>
      <c r="J12" s="28">
        <v>6669</v>
      </c>
      <c r="K12" s="29"/>
      <c r="L12" s="28"/>
      <c r="M12" s="28">
        <f t="shared" si="1"/>
        <v>32532.55</v>
      </c>
      <c r="N12" s="30">
        <v>26</v>
      </c>
      <c r="O12" s="31">
        <f t="shared" si="8"/>
        <v>845846.29999999993</v>
      </c>
      <c r="P12" s="31">
        <f>Tableau2[[#This Row],[Salaire mensuel en FC]]</f>
        <v>845846.29999999993</v>
      </c>
      <c r="Q12" s="32">
        <f t="shared" si="3"/>
        <v>126876.94499999998</v>
      </c>
      <c r="R12" s="32">
        <f t="shared" si="4"/>
        <v>152252.33399999997</v>
      </c>
      <c r="S12" s="33">
        <f t="shared" si="5"/>
        <v>25375.388999999999</v>
      </c>
    </row>
    <row r="13" spans="1:20" x14ac:dyDescent="0.3">
      <c r="A13" s="23">
        <v>6</v>
      </c>
      <c r="B13" s="24" t="s">
        <v>36</v>
      </c>
      <c r="C13" s="25" t="s">
        <v>33</v>
      </c>
      <c r="D13" s="26" t="s">
        <v>34</v>
      </c>
      <c r="E13" s="27">
        <v>14500</v>
      </c>
      <c r="F13" s="26">
        <v>133</v>
      </c>
      <c r="G13" s="28">
        <f t="shared" si="6"/>
        <v>19285</v>
      </c>
      <c r="H13" s="28">
        <f t="shared" si="7"/>
        <v>578.54999999999995</v>
      </c>
      <c r="I13" s="28">
        <v>6000</v>
      </c>
      <c r="J13" s="28">
        <v>6669</v>
      </c>
      <c r="K13" s="29"/>
      <c r="L13" s="28"/>
      <c r="M13" s="28">
        <f t="shared" si="1"/>
        <v>32532.55</v>
      </c>
      <c r="N13" s="30">
        <v>26</v>
      </c>
      <c r="O13" s="31">
        <f t="shared" si="8"/>
        <v>845846.29999999993</v>
      </c>
      <c r="P13" s="31">
        <f>Tableau2[[#This Row],[Salaire mensuel en FC]]</f>
        <v>845846.29999999993</v>
      </c>
      <c r="Q13" s="32">
        <f t="shared" si="3"/>
        <v>126876.94499999998</v>
      </c>
      <c r="R13" s="32">
        <f t="shared" si="4"/>
        <v>152252.33399999997</v>
      </c>
      <c r="S13" s="33">
        <f t="shared" si="5"/>
        <v>25375.388999999999</v>
      </c>
    </row>
    <row r="14" spans="1:20" x14ac:dyDescent="0.3">
      <c r="A14" s="23">
        <v>7</v>
      </c>
      <c r="B14" s="24" t="s">
        <v>37</v>
      </c>
      <c r="C14" s="25" t="s">
        <v>33</v>
      </c>
      <c r="D14" s="26" t="s">
        <v>34</v>
      </c>
      <c r="E14" s="27">
        <v>14500</v>
      </c>
      <c r="F14" s="26">
        <v>133</v>
      </c>
      <c r="G14" s="28">
        <f t="shared" si="6"/>
        <v>19285</v>
      </c>
      <c r="H14" s="28">
        <f t="shared" si="7"/>
        <v>578.54999999999995</v>
      </c>
      <c r="I14" s="28">
        <v>6000</v>
      </c>
      <c r="J14" s="28">
        <v>6669</v>
      </c>
      <c r="K14" s="29"/>
      <c r="L14" s="28"/>
      <c r="M14" s="28">
        <f t="shared" si="1"/>
        <v>32532.55</v>
      </c>
      <c r="N14" s="30">
        <v>26</v>
      </c>
      <c r="O14" s="31">
        <f t="shared" si="8"/>
        <v>845846.29999999993</v>
      </c>
      <c r="P14" s="31">
        <f>Tableau2[[#This Row],[Salaire mensuel en FC]]</f>
        <v>845846.29999999993</v>
      </c>
      <c r="Q14" s="32">
        <f t="shared" si="3"/>
        <v>126876.94499999998</v>
      </c>
      <c r="R14" s="32">
        <f t="shared" si="4"/>
        <v>152252.33399999997</v>
      </c>
      <c r="S14" s="33">
        <f t="shared" si="5"/>
        <v>25375.388999999999</v>
      </c>
    </row>
    <row r="15" spans="1:20" x14ac:dyDescent="0.3">
      <c r="A15" s="23">
        <v>8</v>
      </c>
      <c r="B15" s="24" t="s">
        <v>38</v>
      </c>
      <c r="C15" s="25" t="s">
        <v>33</v>
      </c>
      <c r="D15" s="26" t="s">
        <v>34</v>
      </c>
      <c r="E15" s="27">
        <v>14500</v>
      </c>
      <c r="F15" s="26">
        <v>133</v>
      </c>
      <c r="G15" s="28">
        <f t="shared" si="6"/>
        <v>19285</v>
      </c>
      <c r="H15" s="28">
        <f t="shared" si="7"/>
        <v>578.54999999999995</v>
      </c>
      <c r="I15" s="28">
        <v>6000</v>
      </c>
      <c r="J15" s="28">
        <v>6669</v>
      </c>
      <c r="K15" s="29"/>
      <c r="L15" s="28"/>
      <c r="M15" s="28">
        <f t="shared" si="1"/>
        <v>32532.55</v>
      </c>
      <c r="N15" s="30">
        <v>26</v>
      </c>
      <c r="O15" s="31">
        <f t="shared" si="8"/>
        <v>845846.29999999993</v>
      </c>
      <c r="P15" s="31">
        <f>Tableau2[[#This Row],[Salaire mensuel en FC]]</f>
        <v>845846.29999999993</v>
      </c>
      <c r="Q15" s="32">
        <f t="shared" si="3"/>
        <v>126876.94499999998</v>
      </c>
      <c r="R15" s="32">
        <f t="shared" si="4"/>
        <v>152252.33399999997</v>
      </c>
      <c r="S15" s="33">
        <f t="shared" si="5"/>
        <v>25375.388999999999</v>
      </c>
    </row>
    <row r="16" spans="1:20" x14ac:dyDescent="0.3">
      <c r="A16" s="23">
        <v>9</v>
      </c>
      <c r="B16" s="24" t="s">
        <v>39</v>
      </c>
      <c r="C16" s="25" t="s">
        <v>33</v>
      </c>
      <c r="D16" s="26" t="s">
        <v>34</v>
      </c>
      <c r="E16" s="27">
        <v>14500</v>
      </c>
      <c r="F16" s="26">
        <v>133</v>
      </c>
      <c r="G16" s="28">
        <f t="shared" si="6"/>
        <v>19285</v>
      </c>
      <c r="H16" s="28">
        <f t="shared" si="7"/>
        <v>578.54999999999995</v>
      </c>
      <c r="I16" s="28">
        <v>6000</v>
      </c>
      <c r="J16" s="28">
        <v>6669</v>
      </c>
      <c r="K16" s="29"/>
      <c r="L16" s="28"/>
      <c r="M16" s="28">
        <f t="shared" si="1"/>
        <v>32532.55</v>
      </c>
      <c r="N16" s="30">
        <v>26</v>
      </c>
      <c r="O16" s="31">
        <f t="shared" si="8"/>
        <v>845846.29999999993</v>
      </c>
      <c r="P16" s="31">
        <f>Tableau2[[#This Row],[Salaire mensuel en FC]]</f>
        <v>845846.29999999993</v>
      </c>
      <c r="Q16" s="32">
        <f t="shared" si="3"/>
        <v>126876.94499999998</v>
      </c>
      <c r="R16" s="32">
        <f t="shared" si="4"/>
        <v>152252.33399999997</v>
      </c>
      <c r="S16" s="33">
        <f t="shared" si="5"/>
        <v>25375.388999999999</v>
      </c>
    </row>
    <row r="17" spans="1:19" x14ac:dyDescent="0.3">
      <c r="A17" s="23">
        <v>10</v>
      </c>
      <c r="B17" s="24" t="s">
        <v>40</v>
      </c>
      <c r="C17" s="25" t="s">
        <v>33</v>
      </c>
      <c r="D17" s="26" t="s">
        <v>34</v>
      </c>
      <c r="E17" s="27">
        <v>14500</v>
      </c>
      <c r="F17" s="26">
        <v>133</v>
      </c>
      <c r="G17" s="28">
        <f t="shared" si="6"/>
        <v>19285</v>
      </c>
      <c r="H17" s="28">
        <f t="shared" si="7"/>
        <v>578.54999999999995</v>
      </c>
      <c r="I17" s="28">
        <v>6000</v>
      </c>
      <c r="J17" s="28">
        <v>6669</v>
      </c>
      <c r="K17" s="29"/>
      <c r="L17" s="28"/>
      <c r="M17" s="28">
        <f t="shared" si="1"/>
        <v>32532.55</v>
      </c>
      <c r="N17" s="30">
        <v>26</v>
      </c>
      <c r="O17" s="31">
        <f t="shared" si="8"/>
        <v>845846.29999999993</v>
      </c>
      <c r="P17" s="31">
        <f>Tableau2[[#This Row],[Salaire mensuel en FC]]</f>
        <v>845846.29999999993</v>
      </c>
      <c r="Q17" s="32">
        <f t="shared" si="3"/>
        <v>126876.94499999998</v>
      </c>
      <c r="R17" s="32">
        <f t="shared" si="4"/>
        <v>152252.33399999997</v>
      </c>
      <c r="S17" s="33">
        <f t="shared" si="5"/>
        <v>25375.388999999999</v>
      </c>
    </row>
    <row r="18" spans="1:19" x14ac:dyDescent="0.3">
      <c r="A18" s="23">
        <v>11</v>
      </c>
      <c r="B18" s="24" t="s">
        <v>41</v>
      </c>
      <c r="C18" s="25" t="s">
        <v>33</v>
      </c>
      <c r="D18" s="26" t="s">
        <v>34</v>
      </c>
      <c r="E18" s="27">
        <v>14500</v>
      </c>
      <c r="F18" s="26">
        <v>133</v>
      </c>
      <c r="G18" s="28">
        <f t="shared" si="6"/>
        <v>19285</v>
      </c>
      <c r="H18" s="28">
        <f t="shared" si="7"/>
        <v>578.54999999999995</v>
      </c>
      <c r="I18" s="28">
        <v>6000</v>
      </c>
      <c r="J18" s="28">
        <v>6669</v>
      </c>
      <c r="K18" s="29"/>
      <c r="L18" s="28"/>
      <c r="M18" s="28">
        <f t="shared" si="1"/>
        <v>32532.55</v>
      </c>
      <c r="N18" s="30">
        <v>26</v>
      </c>
      <c r="O18" s="31">
        <f t="shared" si="8"/>
        <v>845846.29999999993</v>
      </c>
      <c r="P18" s="31">
        <f>Tableau2[[#This Row],[Salaire mensuel en FC]]</f>
        <v>845846.29999999993</v>
      </c>
      <c r="Q18" s="32">
        <f t="shared" si="3"/>
        <v>126876.94499999998</v>
      </c>
      <c r="R18" s="32">
        <f t="shared" si="4"/>
        <v>152252.33399999997</v>
      </c>
      <c r="S18" s="33">
        <f t="shared" si="5"/>
        <v>25375.388999999999</v>
      </c>
    </row>
    <row r="19" spans="1:19" x14ac:dyDescent="0.3">
      <c r="A19" s="23">
        <v>12</v>
      </c>
      <c r="B19" s="24" t="s">
        <v>42</v>
      </c>
      <c r="C19" s="25" t="s">
        <v>33</v>
      </c>
      <c r="D19" s="26" t="s">
        <v>34</v>
      </c>
      <c r="E19" s="27">
        <v>14500</v>
      </c>
      <c r="F19" s="26">
        <v>133</v>
      </c>
      <c r="G19" s="28">
        <f t="shared" si="6"/>
        <v>19285</v>
      </c>
      <c r="H19" s="28">
        <f t="shared" si="7"/>
        <v>578.54999999999995</v>
      </c>
      <c r="I19" s="28">
        <v>6000</v>
      </c>
      <c r="J19" s="28">
        <v>6669</v>
      </c>
      <c r="K19" s="29"/>
      <c r="L19" s="28"/>
      <c r="M19" s="28">
        <f t="shared" si="1"/>
        <v>32532.55</v>
      </c>
      <c r="N19" s="30">
        <v>26</v>
      </c>
      <c r="O19" s="31">
        <f t="shared" si="8"/>
        <v>845846.29999999993</v>
      </c>
      <c r="P19" s="31">
        <f>Tableau2[[#This Row],[Salaire mensuel en FC]]</f>
        <v>845846.29999999993</v>
      </c>
      <c r="Q19" s="32">
        <f t="shared" si="3"/>
        <v>126876.94499999998</v>
      </c>
      <c r="R19" s="32">
        <f t="shared" si="4"/>
        <v>152252.33399999997</v>
      </c>
      <c r="S19" s="33">
        <f t="shared" si="5"/>
        <v>25375.388999999999</v>
      </c>
    </row>
    <row r="20" spans="1:19" x14ac:dyDescent="0.3">
      <c r="A20" s="23">
        <v>13</v>
      </c>
      <c r="B20" s="24" t="s">
        <v>43</v>
      </c>
      <c r="C20" s="25" t="s">
        <v>33</v>
      </c>
      <c r="D20" s="26" t="s">
        <v>34</v>
      </c>
      <c r="E20" s="27">
        <v>14500</v>
      </c>
      <c r="F20" s="26">
        <v>133</v>
      </c>
      <c r="G20" s="28">
        <f t="shared" si="6"/>
        <v>19285</v>
      </c>
      <c r="H20" s="28">
        <f t="shared" si="7"/>
        <v>578.54999999999995</v>
      </c>
      <c r="I20" s="28">
        <v>6000</v>
      </c>
      <c r="J20" s="28">
        <v>6669</v>
      </c>
      <c r="K20" s="29"/>
      <c r="L20" s="28"/>
      <c r="M20" s="28">
        <f t="shared" si="1"/>
        <v>32532.55</v>
      </c>
      <c r="N20" s="30">
        <v>26</v>
      </c>
      <c r="O20" s="31">
        <f t="shared" si="8"/>
        <v>845846.29999999993</v>
      </c>
      <c r="P20" s="31">
        <f>Tableau2[[#This Row],[Salaire mensuel en FC]]</f>
        <v>845846.29999999993</v>
      </c>
      <c r="Q20" s="32">
        <f t="shared" si="3"/>
        <v>126876.94499999998</v>
      </c>
      <c r="R20" s="32">
        <f t="shared" si="4"/>
        <v>152252.33399999997</v>
      </c>
      <c r="S20" s="33">
        <f t="shared" si="5"/>
        <v>25375.388999999999</v>
      </c>
    </row>
    <row r="21" spans="1:19" x14ac:dyDescent="0.3">
      <c r="A21" s="23">
        <v>14</v>
      </c>
      <c r="B21" s="34" t="s">
        <v>44</v>
      </c>
      <c r="C21" s="35" t="s">
        <v>33</v>
      </c>
      <c r="D21" s="26" t="s">
        <v>34</v>
      </c>
      <c r="E21" s="27">
        <v>14500</v>
      </c>
      <c r="F21" s="26">
        <v>133</v>
      </c>
      <c r="G21" s="28">
        <f t="shared" si="6"/>
        <v>19285</v>
      </c>
      <c r="H21" s="28">
        <f t="shared" si="7"/>
        <v>578.54999999999995</v>
      </c>
      <c r="I21" s="36">
        <v>6000</v>
      </c>
      <c r="J21" s="36">
        <v>4350</v>
      </c>
      <c r="K21" s="37"/>
      <c r="L21" s="36">
        <f t="shared" ref="L21:L22" si="9">(K21*1.333)*G21</f>
        <v>0</v>
      </c>
      <c r="M21" s="36">
        <f t="shared" si="1"/>
        <v>30213.55</v>
      </c>
      <c r="N21" s="38">
        <v>26</v>
      </c>
      <c r="O21" s="39">
        <f t="shared" si="8"/>
        <v>785552.29999999993</v>
      </c>
      <c r="P21" s="39">
        <f>Tableau2[[#This Row],[Salaire mensuel en FC]]</f>
        <v>785552.29999999993</v>
      </c>
      <c r="Q21" s="32">
        <f t="shared" si="3"/>
        <v>117832.84499999999</v>
      </c>
      <c r="R21" s="32">
        <f t="shared" si="4"/>
        <v>141399.41399999999</v>
      </c>
      <c r="S21" s="33">
        <f t="shared" si="5"/>
        <v>23566.569</v>
      </c>
    </row>
    <row r="22" spans="1:19" x14ac:dyDescent="0.3">
      <c r="A22" s="23">
        <v>15</v>
      </c>
      <c r="B22" s="24" t="s">
        <v>45</v>
      </c>
      <c r="C22" s="25" t="s">
        <v>33</v>
      </c>
      <c r="D22" s="26" t="s">
        <v>34</v>
      </c>
      <c r="E22" s="27">
        <v>14500</v>
      </c>
      <c r="F22" s="26">
        <v>133</v>
      </c>
      <c r="G22" s="28">
        <f t="shared" si="6"/>
        <v>19285</v>
      </c>
      <c r="H22" s="28">
        <f t="shared" si="7"/>
        <v>578.54999999999995</v>
      </c>
      <c r="I22" s="28">
        <v>6000</v>
      </c>
      <c r="J22" s="28">
        <v>5785.5</v>
      </c>
      <c r="K22" s="29"/>
      <c r="L22" s="28">
        <f t="shared" si="9"/>
        <v>0</v>
      </c>
      <c r="M22" s="28">
        <f t="shared" si="1"/>
        <v>31649.05</v>
      </c>
      <c r="N22" s="30">
        <v>26</v>
      </c>
      <c r="O22" s="31">
        <f t="shared" si="8"/>
        <v>822875.29999999993</v>
      </c>
      <c r="P22" s="31">
        <f>Tableau2[[#This Row],[Salaire mensuel en FC]]</f>
        <v>822875.29999999993</v>
      </c>
      <c r="Q22" s="32">
        <f t="shared" si="3"/>
        <v>123431.29499999998</v>
      </c>
      <c r="R22" s="32">
        <f t="shared" si="4"/>
        <v>148117.55399999997</v>
      </c>
      <c r="S22" s="33">
        <f t="shared" si="5"/>
        <v>24686.258999999998</v>
      </c>
    </row>
    <row r="23" spans="1:19" x14ac:dyDescent="0.3">
      <c r="A23" s="23">
        <v>16</v>
      </c>
      <c r="B23" s="24" t="s">
        <v>46</v>
      </c>
      <c r="C23" s="25" t="s">
        <v>47</v>
      </c>
      <c r="D23" s="26" t="s">
        <v>48</v>
      </c>
      <c r="E23" s="27">
        <v>14500</v>
      </c>
      <c r="F23" s="26">
        <v>178</v>
      </c>
      <c r="G23" s="28">
        <f>E23*F23/100</f>
        <v>25810</v>
      </c>
      <c r="H23" s="28">
        <v>1121.9000000000001</v>
      </c>
      <c r="I23" s="28">
        <v>6000</v>
      </c>
      <c r="J23" s="28">
        <v>11919</v>
      </c>
      <c r="K23" s="28"/>
      <c r="L23" s="28"/>
      <c r="M23" s="28">
        <f>G23+H23+I23+J23+L23</f>
        <v>44850.9</v>
      </c>
      <c r="N23" s="30">
        <v>26</v>
      </c>
      <c r="O23" s="31">
        <f t="shared" si="8"/>
        <v>1166123.4000000001</v>
      </c>
      <c r="P23" s="31">
        <f>Tableau2[[#This Row],[Salaire mensuel en FC]]</f>
        <v>1166123.4000000001</v>
      </c>
      <c r="Q23" s="32">
        <f t="shared" si="3"/>
        <v>174918.51000000004</v>
      </c>
      <c r="R23" s="32">
        <f t="shared" si="4"/>
        <v>209902.21200000003</v>
      </c>
      <c r="S23" s="33">
        <f t="shared" si="5"/>
        <v>34983.702000000005</v>
      </c>
    </row>
    <row r="24" spans="1:19" x14ac:dyDescent="0.3">
      <c r="A24" s="23">
        <v>17</v>
      </c>
      <c r="B24" s="24" t="s">
        <v>49</v>
      </c>
      <c r="C24" s="25" t="s">
        <v>50</v>
      </c>
      <c r="D24" s="26" t="s">
        <v>34</v>
      </c>
      <c r="E24" s="27">
        <v>14500</v>
      </c>
      <c r="F24" s="26">
        <v>133</v>
      </c>
      <c r="G24" s="28">
        <f t="shared" ref="G24:G26" si="10">E24*F24/100</f>
        <v>19285</v>
      </c>
      <c r="H24" s="28">
        <v>578.54999999999995</v>
      </c>
      <c r="I24" s="28">
        <v>6000</v>
      </c>
      <c r="J24" s="28">
        <v>5785.5</v>
      </c>
      <c r="K24" s="28"/>
      <c r="L24" s="28"/>
      <c r="M24" s="28">
        <f>G24+H24+I24+J24+L24</f>
        <v>31649.05</v>
      </c>
      <c r="N24" s="30">
        <v>26</v>
      </c>
      <c r="O24" s="31">
        <f t="shared" si="8"/>
        <v>822875.29999999993</v>
      </c>
      <c r="P24" s="31">
        <f>Tableau2[[#This Row],[Salaire mensuel en FC]]</f>
        <v>822875.29999999993</v>
      </c>
      <c r="Q24" s="32">
        <f t="shared" si="3"/>
        <v>123431.29499999998</v>
      </c>
      <c r="R24" s="32">
        <f t="shared" si="4"/>
        <v>148117.55399999997</v>
      </c>
      <c r="S24" s="33">
        <f t="shared" si="5"/>
        <v>24686.258999999998</v>
      </c>
    </row>
    <row r="25" spans="1:19" x14ac:dyDescent="0.3">
      <c r="A25" s="23">
        <v>18</v>
      </c>
      <c r="B25" s="24" t="s">
        <v>51</v>
      </c>
      <c r="C25" s="25" t="s">
        <v>52</v>
      </c>
      <c r="D25" s="26" t="s">
        <v>34</v>
      </c>
      <c r="E25" s="27">
        <v>14500</v>
      </c>
      <c r="F25" s="26">
        <v>133</v>
      </c>
      <c r="G25" s="28">
        <f t="shared" si="10"/>
        <v>19285</v>
      </c>
      <c r="H25" s="28">
        <v>578.54999999999995</v>
      </c>
      <c r="I25" s="28">
        <v>6000</v>
      </c>
      <c r="J25" s="28">
        <v>5785.5</v>
      </c>
      <c r="K25" s="28"/>
      <c r="L25" s="28"/>
      <c r="M25" s="28">
        <f>G25+H25+I25+J25+L25</f>
        <v>31649.05</v>
      </c>
      <c r="N25" s="30">
        <v>26</v>
      </c>
      <c r="O25" s="31">
        <f t="shared" si="8"/>
        <v>822875.29999999993</v>
      </c>
      <c r="P25" s="31">
        <f>Tableau2[[#This Row],[Salaire mensuel en FC]]</f>
        <v>822875.29999999993</v>
      </c>
      <c r="Q25" s="32">
        <f t="shared" si="3"/>
        <v>123431.29499999998</v>
      </c>
      <c r="R25" s="32">
        <f t="shared" si="4"/>
        <v>148117.55399999997</v>
      </c>
      <c r="S25" s="33">
        <f t="shared" si="5"/>
        <v>24686.258999999998</v>
      </c>
    </row>
    <row r="26" spans="1:19" x14ac:dyDescent="0.3">
      <c r="A26" s="23">
        <v>19</v>
      </c>
      <c r="B26" s="24" t="s">
        <v>53</v>
      </c>
      <c r="C26" s="25" t="s">
        <v>50</v>
      </c>
      <c r="D26" s="26" t="s">
        <v>34</v>
      </c>
      <c r="E26" s="27">
        <v>14500</v>
      </c>
      <c r="F26" s="26">
        <v>133</v>
      </c>
      <c r="G26" s="28">
        <f t="shared" si="10"/>
        <v>19285</v>
      </c>
      <c r="H26" s="28">
        <v>578.54999999999995</v>
      </c>
      <c r="I26" s="28">
        <v>6000</v>
      </c>
      <c r="J26" s="28">
        <v>5785.5</v>
      </c>
      <c r="K26" s="28"/>
      <c r="L26" s="28"/>
      <c r="M26" s="28">
        <f>G26+H26+I26+J26+L26</f>
        <v>31649.05</v>
      </c>
      <c r="N26" s="30">
        <v>26</v>
      </c>
      <c r="O26" s="31">
        <f t="shared" si="8"/>
        <v>822875.29999999993</v>
      </c>
      <c r="P26" s="31">
        <f>Tableau2[[#This Row],[Salaire mensuel en FC]]</f>
        <v>822875.29999999993</v>
      </c>
      <c r="Q26" s="32">
        <f t="shared" si="3"/>
        <v>123431.29499999998</v>
      </c>
      <c r="R26" s="32">
        <f t="shared" si="4"/>
        <v>148117.55399999997</v>
      </c>
      <c r="S26" s="33">
        <f t="shared" si="5"/>
        <v>24686.258999999998</v>
      </c>
    </row>
    <row r="27" spans="1:19" x14ac:dyDescent="0.3">
      <c r="A27" s="23">
        <v>20</v>
      </c>
      <c r="B27" s="24" t="s">
        <v>54</v>
      </c>
      <c r="C27" s="25" t="s">
        <v>55</v>
      </c>
      <c r="D27" s="26" t="s">
        <v>48</v>
      </c>
      <c r="E27" s="27">
        <v>14500</v>
      </c>
      <c r="F27" s="26">
        <v>178</v>
      </c>
      <c r="G27" s="28">
        <f>E27*F27/100</f>
        <v>25810</v>
      </c>
      <c r="H27" s="28">
        <v>896</v>
      </c>
      <c r="I27" s="28">
        <v>6000</v>
      </c>
      <c r="J27" s="28">
        <v>8961</v>
      </c>
      <c r="K27" s="28"/>
      <c r="L27" s="28"/>
      <c r="M27" s="28">
        <f t="shared" ref="M27:M57" si="11">G27+H27+I27+J27+L27</f>
        <v>41667</v>
      </c>
      <c r="N27" s="30">
        <v>26</v>
      </c>
      <c r="O27" s="31">
        <f t="shared" si="8"/>
        <v>1083342</v>
      </c>
      <c r="P27" s="31">
        <f>Tableau2[[#This Row],[Salaire mensuel en FC]]</f>
        <v>1083342</v>
      </c>
      <c r="Q27" s="32">
        <f t="shared" si="3"/>
        <v>162501.29999999999</v>
      </c>
      <c r="R27" s="32">
        <f t="shared" si="4"/>
        <v>195001.56</v>
      </c>
      <c r="S27" s="33">
        <f t="shared" si="5"/>
        <v>32500.26</v>
      </c>
    </row>
    <row r="28" spans="1:19" x14ac:dyDescent="0.3">
      <c r="A28" s="23">
        <v>21</v>
      </c>
      <c r="B28" s="24" t="s">
        <v>56</v>
      </c>
      <c r="C28" s="25" t="s">
        <v>57</v>
      </c>
      <c r="D28" s="26" t="s">
        <v>48</v>
      </c>
      <c r="E28" s="27">
        <v>14500</v>
      </c>
      <c r="F28" s="26">
        <v>178</v>
      </c>
      <c r="G28" s="28">
        <f t="shared" ref="G28:G35" si="12">E28*F28/100</f>
        <v>25810</v>
      </c>
      <c r="H28" s="28">
        <v>669.9</v>
      </c>
      <c r="I28" s="28">
        <v>6000</v>
      </c>
      <c r="J28" s="28">
        <v>6699</v>
      </c>
      <c r="K28" s="28"/>
      <c r="L28" s="28"/>
      <c r="M28" s="28">
        <f t="shared" si="11"/>
        <v>39178.9</v>
      </c>
      <c r="N28" s="30">
        <v>26</v>
      </c>
      <c r="O28" s="31">
        <f t="shared" si="8"/>
        <v>1018651.4</v>
      </c>
      <c r="P28" s="31">
        <f>Tableau2[[#This Row],[Salaire mensuel en FC]]</f>
        <v>1018651.4</v>
      </c>
      <c r="Q28" s="32">
        <f t="shared" si="3"/>
        <v>152797.71</v>
      </c>
      <c r="R28" s="32">
        <f t="shared" si="4"/>
        <v>183357.25199999998</v>
      </c>
      <c r="S28" s="33">
        <f t="shared" si="5"/>
        <v>30559.542000000001</v>
      </c>
    </row>
    <row r="29" spans="1:19" x14ac:dyDescent="0.3">
      <c r="A29" s="23">
        <v>22</v>
      </c>
      <c r="B29" s="24" t="s">
        <v>58</v>
      </c>
      <c r="C29" s="25" t="s">
        <v>59</v>
      </c>
      <c r="D29" s="26" t="s">
        <v>48</v>
      </c>
      <c r="E29" s="27">
        <v>14500</v>
      </c>
      <c r="F29" s="26">
        <v>178</v>
      </c>
      <c r="G29" s="28">
        <f t="shared" si="12"/>
        <v>25810</v>
      </c>
      <c r="H29" s="28">
        <v>669.9</v>
      </c>
      <c r="I29" s="28">
        <v>6000</v>
      </c>
      <c r="J29" s="28">
        <v>6699</v>
      </c>
      <c r="K29" s="28"/>
      <c r="L29" s="28"/>
      <c r="M29" s="28">
        <f t="shared" si="11"/>
        <v>39178.9</v>
      </c>
      <c r="N29" s="30">
        <v>26</v>
      </c>
      <c r="O29" s="31">
        <f t="shared" si="8"/>
        <v>1018651.4</v>
      </c>
      <c r="P29" s="31">
        <f>Tableau2[[#This Row],[Salaire mensuel en FC]]</f>
        <v>1018651.4</v>
      </c>
      <c r="Q29" s="32">
        <f t="shared" si="3"/>
        <v>152797.71</v>
      </c>
      <c r="R29" s="32">
        <f t="shared" si="4"/>
        <v>183357.25199999998</v>
      </c>
      <c r="S29" s="33">
        <f t="shared" si="5"/>
        <v>30559.542000000001</v>
      </c>
    </row>
    <row r="30" spans="1:19" x14ac:dyDescent="0.3">
      <c r="A30" s="23">
        <v>23</v>
      </c>
      <c r="B30" s="24" t="s">
        <v>60</v>
      </c>
      <c r="C30" s="25" t="s">
        <v>61</v>
      </c>
      <c r="D30" s="26" t="s">
        <v>48</v>
      </c>
      <c r="E30" s="27">
        <v>14500</v>
      </c>
      <c r="F30" s="26">
        <v>178</v>
      </c>
      <c r="G30" s="28">
        <f t="shared" si="12"/>
        <v>25810</v>
      </c>
      <c r="H30" s="28">
        <v>669.9</v>
      </c>
      <c r="I30" s="28">
        <v>6000</v>
      </c>
      <c r="J30" s="28">
        <v>6699</v>
      </c>
      <c r="K30" s="28"/>
      <c r="L30" s="28"/>
      <c r="M30" s="28">
        <f t="shared" si="11"/>
        <v>39178.9</v>
      </c>
      <c r="N30" s="30">
        <v>26</v>
      </c>
      <c r="O30" s="31">
        <f t="shared" si="8"/>
        <v>1018651.4</v>
      </c>
      <c r="P30" s="31">
        <f>Tableau2[[#This Row],[Salaire mensuel en FC]]</f>
        <v>1018651.4</v>
      </c>
      <c r="Q30" s="32">
        <f t="shared" si="3"/>
        <v>152797.71</v>
      </c>
      <c r="R30" s="32">
        <f t="shared" si="4"/>
        <v>183357.25199999998</v>
      </c>
      <c r="S30" s="33">
        <f t="shared" si="5"/>
        <v>30559.542000000001</v>
      </c>
    </row>
    <row r="31" spans="1:19" x14ac:dyDescent="0.3">
      <c r="A31" s="23">
        <v>24</v>
      </c>
      <c r="B31" s="24" t="s">
        <v>62</v>
      </c>
      <c r="C31" s="25" t="s">
        <v>61</v>
      </c>
      <c r="D31" s="26" t="s">
        <v>63</v>
      </c>
      <c r="E31" s="27">
        <v>14500</v>
      </c>
      <c r="F31" s="26">
        <v>116</v>
      </c>
      <c r="G31" s="28">
        <f t="shared" si="12"/>
        <v>16820</v>
      </c>
      <c r="H31" s="28">
        <v>669.9</v>
      </c>
      <c r="I31" s="28">
        <v>6000</v>
      </c>
      <c r="J31" s="28">
        <v>6699</v>
      </c>
      <c r="K31" s="28"/>
      <c r="L31" s="28"/>
      <c r="M31" s="28">
        <f t="shared" si="11"/>
        <v>30188.9</v>
      </c>
      <c r="N31" s="30">
        <v>26</v>
      </c>
      <c r="O31" s="31">
        <f t="shared" si="8"/>
        <v>784911.4</v>
      </c>
      <c r="P31" s="31">
        <f>Tableau2[[#This Row],[Salaire mensuel en FC]]</f>
        <v>784911.4</v>
      </c>
      <c r="Q31" s="32">
        <f t="shared" si="3"/>
        <v>117736.71</v>
      </c>
      <c r="R31" s="32">
        <f t="shared" si="4"/>
        <v>141284.05200000003</v>
      </c>
      <c r="S31" s="33">
        <f t="shared" si="5"/>
        <v>23547.342000000001</v>
      </c>
    </row>
    <row r="32" spans="1:19" x14ac:dyDescent="0.3">
      <c r="A32" s="23">
        <v>25</v>
      </c>
      <c r="B32" s="24" t="s">
        <v>64</v>
      </c>
      <c r="C32" s="25" t="s">
        <v>61</v>
      </c>
      <c r="D32" s="26" t="s">
        <v>63</v>
      </c>
      <c r="E32" s="27">
        <v>14500</v>
      </c>
      <c r="F32" s="26">
        <v>116</v>
      </c>
      <c r="G32" s="28">
        <f t="shared" si="12"/>
        <v>16820</v>
      </c>
      <c r="H32" s="28">
        <v>669.9</v>
      </c>
      <c r="I32" s="28">
        <v>6000</v>
      </c>
      <c r="J32" s="28">
        <v>6699</v>
      </c>
      <c r="K32" s="28"/>
      <c r="L32" s="28"/>
      <c r="M32" s="28">
        <f t="shared" si="11"/>
        <v>30188.9</v>
      </c>
      <c r="N32" s="30">
        <v>26</v>
      </c>
      <c r="O32" s="31">
        <f t="shared" si="8"/>
        <v>784911.4</v>
      </c>
      <c r="P32" s="31">
        <f>Tableau2[[#This Row],[Salaire mensuel en FC]]</f>
        <v>784911.4</v>
      </c>
      <c r="Q32" s="32">
        <f t="shared" si="3"/>
        <v>117736.71</v>
      </c>
      <c r="R32" s="32">
        <f t="shared" si="4"/>
        <v>141284.05200000003</v>
      </c>
      <c r="S32" s="33">
        <f t="shared" si="5"/>
        <v>23547.342000000001</v>
      </c>
    </row>
    <row r="33" spans="1:19" x14ac:dyDescent="0.3">
      <c r="A33" s="23">
        <v>26</v>
      </c>
      <c r="B33" s="24" t="s">
        <v>65</v>
      </c>
      <c r="C33" s="25" t="s">
        <v>61</v>
      </c>
      <c r="D33" s="26" t="s">
        <v>63</v>
      </c>
      <c r="E33" s="27">
        <v>14500</v>
      </c>
      <c r="F33" s="26">
        <v>116</v>
      </c>
      <c r="G33" s="28">
        <f t="shared" si="12"/>
        <v>16820</v>
      </c>
      <c r="H33" s="28">
        <v>669.9</v>
      </c>
      <c r="I33" s="28">
        <v>6000</v>
      </c>
      <c r="J33" s="28">
        <v>6699</v>
      </c>
      <c r="K33" s="28"/>
      <c r="L33" s="28"/>
      <c r="M33" s="28">
        <f t="shared" si="11"/>
        <v>30188.9</v>
      </c>
      <c r="N33" s="30">
        <v>26</v>
      </c>
      <c r="O33" s="31">
        <f t="shared" si="8"/>
        <v>784911.4</v>
      </c>
      <c r="P33" s="31">
        <f>Tableau2[[#This Row],[Salaire mensuel en FC]]</f>
        <v>784911.4</v>
      </c>
      <c r="Q33" s="32">
        <f t="shared" si="3"/>
        <v>117736.71</v>
      </c>
      <c r="R33" s="32">
        <f t="shared" si="4"/>
        <v>141284.05200000003</v>
      </c>
      <c r="S33" s="33">
        <f t="shared" si="5"/>
        <v>23547.342000000001</v>
      </c>
    </row>
    <row r="34" spans="1:19" x14ac:dyDescent="0.3">
      <c r="A34" s="23">
        <v>27</v>
      </c>
      <c r="B34" s="24" t="s">
        <v>66</v>
      </c>
      <c r="C34" s="25" t="s">
        <v>61</v>
      </c>
      <c r="D34" s="26" t="s">
        <v>63</v>
      </c>
      <c r="E34" s="27">
        <v>14500</v>
      </c>
      <c r="F34" s="26">
        <v>116</v>
      </c>
      <c r="G34" s="28">
        <f t="shared" si="12"/>
        <v>16820</v>
      </c>
      <c r="H34" s="28">
        <v>669.9</v>
      </c>
      <c r="I34" s="28">
        <v>6000</v>
      </c>
      <c r="J34" s="28">
        <v>6699</v>
      </c>
      <c r="K34" s="28"/>
      <c r="L34" s="28"/>
      <c r="M34" s="28">
        <f t="shared" si="11"/>
        <v>30188.9</v>
      </c>
      <c r="N34" s="30">
        <v>26</v>
      </c>
      <c r="O34" s="31">
        <f t="shared" si="8"/>
        <v>784911.4</v>
      </c>
      <c r="P34" s="31">
        <f>Tableau2[[#This Row],[Salaire mensuel en FC]]</f>
        <v>784911.4</v>
      </c>
      <c r="Q34" s="32">
        <f t="shared" si="3"/>
        <v>117736.71</v>
      </c>
      <c r="R34" s="32">
        <f t="shared" si="4"/>
        <v>141284.05200000003</v>
      </c>
      <c r="S34" s="33">
        <f t="shared" si="5"/>
        <v>23547.342000000001</v>
      </c>
    </row>
    <row r="35" spans="1:19" x14ac:dyDescent="0.3">
      <c r="A35" s="23">
        <v>28</v>
      </c>
      <c r="B35" s="24" t="s">
        <v>67</v>
      </c>
      <c r="C35" s="25" t="s">
        <v>61</v>
      </c>
      <c r="D35" s="26" t="s">
        <v>63</v>
      </c>
      <c r="E35" s="27">
        <v>14500</v>
      </c>
      <c r="F35" s="26">
        <v>116</v>
      </c>
      <c r="G35" s="28">
        <f t="shared" si="12"/>
        <v>16820</v>
      </c>
      <c r="H35" s="28">
        <v>504</v>
      </c>
      <c r="I35" s="28">
        <v>6000</v>
      </c>
      <c r="J35" s="28">
        <v>5046</v>
      </c>
      <c r="K35" s="28"/>
      <c r="L35" s="28"/>
      <c r="M35" s="28">
        <f t="shared" si="11"/>
        <v>28370</v>
      </c>
      <c r="N35" s="30">
        <v>26</v>
      </c>
      <c r="O35" s="31">
        <f t="shared" si="8"/>
        <v>737620</v>
      </c>
      <c r="P35" s="31">
        <f>Tableau2[[#This Row],[Salaire mensuel en FC]]</f>
        <v>737620</v>
      </c>
      <c r="Q35" s="32">
        <f t="shared" si="3"/>
        <v>110643</v>
      </c>
      <c r="R35" s="32">
        <f t="shared" si="4"/>
        <v>132771.6</v>
      </c>
      <c r="S35" s="33">
        <f t="shared" si="5"/>
        <v>22128.6</v>
      </c>
    </row>
    <row r="36" spans="1:19" x14ac:dyDescent="0.3">
      <c r="A36" s="23">
        <v>29</v>
      </c>
      <c r="B36" s="24" t="s">
        <v>68</v>
      </c>
      <c r="C36" s="25" t="s">
        <v>69</v>
      </c>
      <c r="D36" s="26" t="s">
        <v>70</v>
      </c>
      <c r="E36" s="27">
        <v>14500</v>
      </c>
      <c r="F36" s="26">
        <v>154</v>
      </c>
      <c r="G36" s="28">
        <f>E36*F36/100</f>
        <v>22330</v>
      </c>
      <c r="H36" s="28">
        <v>896</v>
      </c>
      <c r="I36" s="28">
        <v>6000</v>
      </c>
      <c r="J36" s="28">
        <v>6699</v>
      </c>
      <c r="K36" s="28"/>
      <c r="L36" s="28"/>
      <c r="M36" s="28">
        <f t="shared" si="11"/>
        <v>35925</v>
      </c>
      <c r="N36" s="30">
        <v>26</v>
      </c>
      <c r="O36" s="31">
        <f t="shared" si="8"/>
        <v>934050</v>
      </c>
      <c r="P36" s="31">
        <f>Tableau2[[#This Row],[Salaire mensuel en FC]]</f>
        <v>934050</v>
      </c>
      <c r="Q36" s="32">
        <f t="shared" si="3"/>
        <v>140107.5</v>
      </c>
      <c r="R36" s="32">
        <f t="shared" si="4"/>
        <v>168129</v>
      </c>
      <c r="S36" s="33">
        <f t="shared" si="5"/>
        <v>28021.5</v>
      </c>
    </row>
    <row r="37" spans="1:19" x14ac:dyDescent="0.3">
      <c r="A37" s="23">
        <v>30</v>
      </c>
      <c r="B37" s="24" t="s">
        <v>71</v>
      </c>
      <c r="C37" s="25" t="s">
        <v>72</v>
      </c>
      <c r="D37" s="26" t="s">
        <v>70</v>
      </c>
      <c r="E37" s="27">
        <v>14500</v>
      </c>
      <c r="F37" s="26">
        <v>154</v>
      </c>
      <c r="G37" s="28">
        <f t="shared" ref="G37:G38" si="13">E37*F37/100</f>
        <v>22330</v>
      </c>
      <c r="H37" s="28">
        <v>669.9</v>
      </c>
      <c r="I37" s="28">
        <v>6000</v>
      </c>
      <c r="J37" s="28">
        <v>6699</v>
      </c>
      <c r="K37" s="28"/>
      <c r="L37" s="28"/>
      <c r="M37" s="28">
        <f t="shared" si="11"/>
        <v>35698.9</v>
      </c>
      <c r="N37" s="30">
        <v>26</v>
      </c>
      <c r="O37" s="31">
        <f t="shared" si="8"/>
        <v>928171.4</v>
      </c>
      <c r="P37" s="31">
        <f>Tableau2[[#This Row],[Salaire mensuel en FC]]</f>
        <v>928171.4</v>
      </c>
      <c r="Q37" s="32">
        <f t="shared" si="3"/>
        <v>139225.71</v>
      </c>
      <c r="R37" s="32">
        <f t="shared" si="4"/>
        <v>167070.85200000001</v>
      </c>
      <c r="S37" s="33">
        <f t="shared" si="5"/>
        <v>27845.142000000003</v>
      </c>
    </row>
    <row r="38" spans="1:19" x14ac:dyDescent="0.3">
      <c r="A38" s="23">
        <v>31</v>
      </c>
      <c r="B38" s="24" t="s">
        <v>73</v>
      </c>
      <c r="C38" s="25" t="s">
        <v>74</v>
      </c>
      <c r="D38" s="26" t="s">
        <v>70</v>
      </c>
      <c r="E38" s="27">
        <v>14500</v>
      </c>
      <c r="F38" s="26">
        <v>154</v>
      </c>
      <c r="G38" s="28">
        <f t="shared" si="13"/>
        <v>22330</v>
      </c>
      <c r="H38" s="28">
        <v>669.9</v>
      </c>
      <c r="I38" s="28">
        <v>6000</v>
      </c>
      <c r="J38" s="28">
        <v>6699</v>
      </c>
      <c r="K38" s="28"/>
      <c r="L38" s="28"/>
      <c r="M38" s="28">
        <f t="shared" si="11"/>
        <v>35698.9</v>
      </c>
      <c r="N38" s="30">
        <v>26</v>
      </c>
      <c r="O38" s="31">
        <f t="shared" si="8"/>
        <v>928171.4</v>
      </c>
      <c r="P38" s="31">
        <f>Tableau2[[#This Row],[Salaire mensuel en FC]]</f>
        <v>928171.4</v>
      </c>
      <c r="Q38" s="32">
        <f t="shared" si="3"/>
        <v>139225.71</v>
      </c>
      <c r="R38" s="32">
        <f t="shared" si="4"/>
        <v>167070.85200000001</v>
      </c>
      <c r="S38" s="33">
        <f t="shared" si="5"/>
        <v>27845.142000000003</v>
      </c>
    </row>
    <row r="39" spans="1:19" x14ac:dyDescent="0.3">
      <c r="A39" s="23">
        <v>32</v>
      </c>
      <c r="B39" s="24" t="s">
        <v>75</v>
      </c>
      <c r="C39" s="25" t="s">
        <v>76</v>
      </c>
      <c r="D39" s="40" t="s">
        <v>34</v>
      </c>
      <c r="E39" s="27">
        <v>14500</v>
      </c>
      <c r="F39" s="40" t="s">
        <v>77</v>
      </c>
      <c r="G39" s="28">
        <f>E39*F39/100</f>
        <v>25810</v>
      </c>
      <c r="H39" s="28">
        <v>774.3</v>
      </c>
      <c r="I39" s="28">
        <v>6000</v>
      </c>
      <c r="J39" s="28">
        <v>6699</v>
      </c>
      <c r="K39" s="28"/>
      <c r="L39" s="28"/>
      <c r="M39" s="28">
        <f t="shared" si="11"/>
        <v>39283.300000000003</v>
      </c>
      <c r="N39" s="30">
        <v>26</v>
      </c>
      <c r="O39" s="31">
        <f t="shared" si="8"/>
        <v>1021365.8</v>
      </c>
      <c r="P39" s="31">
        <f>Tableau2[[#This Row],[Salaire mensuel en FC]]</f>
        <v>1021365.8</v>
      </c>
      <c r="Q39" s="32">
        <f t="shared" si="3"/>
        <v>153204.87</v>
      </c>
      <c r="R39" s="32">
        <f t="shared" si="4"/>
        <v>183845.84400000001</v>
      </c>
      <c r="S39" s="33">
        <f t="shared" si="5"/>
        <v>30640.974000000002</v>
      </c>
    </row>
    <row r="40" spans="1:19" x14ac:dyDescent="0.3">
      <c r="A40" s="23">
        <v>33</v>
      </c>
      <c r="B40" s="24" t="s">
        <v>78</v>
      </c>
      <c r="C40" s="25" t="s">
        <v>79</v>
      </c>
      <c r="D40" s="26" t="s">
        <v>80</v>
      </c>
      <c r="E40" s="27">
        <v>14500</v>
      </c>
      <c r="F40" s="26">
        <v>154</v>
      </c>
      <c r="G40" s="28">
        <f>E40*F40/100</f>
        <v>22330</v>
      </c>
      <c r="H40" s="28">
        <v>669.9</v>
      </c>
      <c r="I40" s="28">
        <v>6000</v>
      </c>
      <c r="J40" s="28">
        <v>6699</v>
      </c>
      <c r="K40" s="28"/>
      <c r="L40" s="28"/>
      <c r="M40" s="28">
        <f t="shared" si="11"/>
        <v>35698.9</v>
      </c>
      <c r="N40" s="30">
        <v>26</v>
      </c>
      <c r="O40" s="31">
        <f t="shared" si="8"/>
        <v>928171.4</v>
      </c>
      <c r="P40" s="31">
        <f>Tableau2[[#This Row],[Salaire mensuel en FC]]</f>
        <v>928171.4</v>
      </c>
      <c r="Q40" s="32">
        <f t="shared" si="3"/>
        <v>139225.71</v>
      </c>
      <c r="R40" s="32">
        <f t="shared" si="4"/>
        <v>167070.85200000001</v>
      </c>
      <c r="S40" s="33">
        <f t="shared" si="5"/>
        <v>27845.142000000003</v>
      </c>
    </row>
    <row r="41" spans="1:19" x14ac:dyDescent="0.3">
      <c r="A41" s="23">
        <v>34</v>
      </c>
      <c r="B41" s="24" t="s">
        <v>81</v>
      </c>
      <c r="C41" s="25" t="s">
        <v>82</v>
      </c>
      <c r="D41" s="26" t="s">
        <v>80</v>
      </c>
      <c r="E41" s="27">
        <v>14500</v>
      </c>
      <c r="F41" s="26">
        <v>154</v>
      </c>
      <c r="G41" s="28">
        <f t="shared" ref="G41:G43" si="14">E41*F41/100</f>
        <v>22330</v>
      </c>
      <c r="H41" s="28">
        <v>896</v>
      </c>
      <c r="I41" s="28">
        <v>6000</v>
      </c>
      <c r="J41" s="28">
        <v>6699</v>
      </c>
      <c r="K41" s="28"/>
      <c r="L41" s="28"/>
      <c r="M41" s="28">
        <f t="shared" si="11"/>
        <v>35925</v>
      </c>
      <c r="N41" s="30">
        <v>26</v>
      </c>
      <c r="O41" s="31">
        <f t="shared" si="8"/>
        <v>934050</v>
      </c>
      <c r="P41" s="31">
        <f>Tableau2[[#This Row],[Salaire mensuel en FC]]</f>
        <v>934050</v>
      </c>
      <c r="Q41" s="32">
        <f t="shared" si="3"/>
        <v>140107.5</v>
      </c>
      <c r="R41" s="32">
        <f t="shared" si="4"/>
        <v>168129</v>
      </c>
      <c r="S41" s="33">
        <f t="shared" si="5"/>
        <v>28021.5</v>
      </c>
    </row>
    <row r="42" spans="1:19" x14ac:dyDescent="0.3">
      <c r="A42" s="23">
        <v>35</v>
      </c>
      <c r="B42" s="24" t="s">
        <v>83</v>
      </c>
      <c r="C42" s="25" t="s">
        <v>84</v>
      </c>
      <c r="D42" s="26" t="s">
        <v>34</v>
      </c>
      <c r="E42" s="27">
        <v>14500</v>
      </c>
      <c r="F42" s="26">
        <v>133</v>
      </c>
      <c r="G42" s="28">
        <f t="shared" si="14"/>
        <v>19285</v>
      </c>
      <c r="H42" s="28">
        <v>578.54999999999995</v>
      </c>
      <c r="I42" s="28">
        <v>6000</v>
      </c>
      <c r="J42" s="28">
        <v>5785.5</v>
      </c>
      <c r="K42" s="28"/>
      <c r="L42" s="28"/>
      <c r="M42" s="28">
        <f t="shared" si="11"/>
        <v>31649.05</v>
      </c>
      <c r="N42" s="30">
        <v>26</v>
      </c>
      <c r="O42" s="31">
        <f t="shared" si="8"/>
        <v>822875.29999999993</v>
      </c>
      <c r="P42" s="31">
        <f>Tableau2[[#This Row],[Salaire mensuel en FC]]</f>
        <v>822875.29999999993</v>
      </c>
      <c r="Q42" s="32">
        <f t="shared" si="3"/>
        <v>123431.29499999998</v>
      </c>
      <c r="R42" s="32">
        <f t="shared" si="4"/>
        <v>148117.55399999997</v>
      </c>
      <c r="S42" s="33">
        <f t="shared" si="5"/>
        <v>24686.258999999998</v>
      </c>
    </row>
    <row r="43" spans="1:19" x14ac:dyDescent="0.3">
      <c r="A43" s="23">
        <v>36</v>
      </c>
      <c r="B43" s="24" t="s">
        <v>85</v>
      </c>
      <c r="C43" s="25" t="s">
        <v>79</v>
      </c>
      <c r="D43" s="26" t="s">
        <v>80</v>
      </c>
      <c r="E43" s="27">
        <v>14500</v>
      </c>
      <c r="F43" s="26">
        <v>178</v>
      </c>
      <c r="G43" s="28">
        <f t="shared" si="14"/>
        <v>25810</v>
      </c>
      <c r="H43" s="28">
        <v>669.9</v>
      </c>
      <c r="I43" s="28">
        <v>6000</v>
      </c>
      <c r="J43" s="28">
        <v>6699</v>
      </c>
      <c r="K43" s="28"/>
      <c r="L43" s="28"/>
      <c r="M43" s="28">
        <f t="shared" si="11"/>
        <v>39178.9</v>
      </c>
      <c r="N43" s="30">
        <v>26</v>
      </c>
      <c r="O43" s="31">
        <f t="shared" si="8"/>
        <v>1018651.4</v>
      </c>
      <c r="P43" s="31">
        <f>Tableau2[[#This Row],[Salaire mensuel en FC]]</f>
        <v>1018651.4</v>
      </c>
      <c r="Q43" s="32">
        <f t="shared" si="3"/>
        <v>152797.71</v>
      </c>
      <c r="R43" s="32">
        <f t="shared" si="4"/>
        <v>183357.25199999998</v>
      </c>
      <c r="S43" s="33">
        <f t="shared" si="5"/>
        <v>30559.542000000001</v>
      </c>
    </row>
    <row r="44" spans="1:19" x14ac:dyDescent="0.3">
      <c r="A44" s="23">
        <v>37</v>
      </c>
      <c r="B44" s="24" t="s">
        <v>86</v>
      </c>
      <c r="C44" s="25" t="s">
        <v>87</v>
      </c>
      <c r="D44" s="26" t="s">
        <v>88</v>
      </c>
      <c r="E44" s="27">
        <v>14500</v>
      </c>
      <c r="F44" s="26">
        <v>317</v>
      </c>
      <c r="G44" s="28">
        <f>E44*F44/100</f>
        <v>45965</v>
      </c>
      <c r="H44" s="28">
        <v>1592.1</v>
      </c>
      <c r="I44" s="28">
        <v>9000</v>
      </c>
      <c r="J44" s="28">
        <v>15921</v>
      </c>
      <c r="K44" s="28"/>
      <c r="L44" s="28"/>
      <c r="M44" s="28">
        <f t="shared" si="11"/>
        <v>72478.100000000006</v>
      </c>
      <c r="N44" s="30">
        <v>26</v>
      </c>
      <c r="O44" s="31">
        <f t="shared" si="8"/>
        <v>1884430.6</v>
      </c>
      <c r="P44" s="31">
        <f>Tableau2[[#This Row],[Salaire mensuel en FC]]</f>
        <v>1884430.6</v>
      </c>
      <c r="Q44" s="32">
        <f t="shared" si="3"/>
        <v>282664.59000000003</v>
      </c>
      <c r="R44" s="32">
        <f t="shared" si="4"/>
        <v>339197.50800000003</v>
      </c>
      <c r="S44" s="33">
        <f t="shared" si="5"/>
        <v>56532.918000000005</v>
      </c>
    </row>
    <row r="45" spans="1:19" x14ac:dyDescent="0.3">
      <c r="A45" s="23">
        <v>38</v>
      </c>
      <c r="B45" s="24" t="s">
        <v>89</v>
      </c>
      <c r="C45" s="25" t="s">
        <v>90</v>
      </c>
      <c r="D45" s="26" t="s">
        <v>80</v>
      </c>
      <c r="E45" s="27">
        <v>14500</v>
      </c>
      <c r="F45" s="26">
        <v>154</v>
      </c>
      <c r="G45" s="28">
        <f t="shared" ref="G45:G49" si="15">E45*F45/100</f>
        <v>22330</v>
      </c>
      <c r="H45" s="28">
        <v>774.3</v>
      </c>
      <c r="I45" s="28">
        <v>6000</v>
      </c>
      <c r="J45" s="28">
        <v>7743</v>
      </c>
      <c r="K45" s="28"/>
      <c r="L45" s="28"/>
      <c r="M45" s="28">
        <f t="shared" si="11"/>
        <v>36847.300000000003</v>
      </c>
      <c r="N45" s="30">
        <v>26</v>
      </c>
      <c r="O45" s="31">
        <f t="shared" si="8"/>
        <v>958029.8</v>
      </c>
      <c r="P45" s="31">
        <f>Tableau2[[#This Row],[Salaire mensuel en FC]]</f>
        <v>958029.8</v>
      </c>
      <c r="Q45" s="32">
        <f t="shared" si="3"/>
        <v>143704.47</v>
      </c>
      <c r="R45" s="32">
        <f t="shared" si="4"/>
        <v>172445.36400000003</v>
      </c>
      <c r="S45" s="33">
        <f t="shared" si="5"/>
        <v>28740.894000000004</v>
      </c>
    </row>
    <row r="46" spans="1:19" x14ac:dyDescent="0.3">
      <c r="A46" s="23">
        <v>39</v>
      </c>
      <c r="B46" s="41" t="s">
        <v>91</v>
      </c>
      <c r="C46" s="25" t="s">
        <v>92</v>
      </c>
      <c r="D46" s="26" t="s">
        <v>93</v>
      </c>
      <c r="E46" s="27">
        <v>14500</v>
      </c>
      <c r="F46" s="26">
        <v>100</v>
      </c>
      <c r="G46" s="28">
        <f t="shared" si="15"/>
        <v>14500</v>
      </c>
      <c r="H46" s="28">
        <v>435</v>
      </c>
      <c r="I46" s="28">
        <v>6000</v>
      </c>
      <c r="J46" s="28">
        <v>4350</v>
      </c>
      <c r="K46" s="28"/>
      <c r="L46" s="28"/>
      <c r="M46" s="28">
        <f t="shared" si="11"/>
        <v>25285</v>
      </c>
      <c r="N46" s="30">
        <v>26</v>
      </c>
      <c r="O46" s="31">
        <f t="shared" si="8"/>
        <v>657410</v>
      </c>
      <c r="P46" s="31">
        <f>Tableau2[[#This Row],[Salaire mensuel en FC]]</f>
        <v>657410</v>
      </c>
      <c r="Q46" s="32">
        <f t="shared" si="3"/>
        <v>98611.5</v>
      </c>
      <c r="R46" s="32">
        <f t="shared" si="4"/>
        <v>118333.8</v>
      </c>
      <c r="S46" s="33">
        <f t="shared" si="5"/>
        <v>19722.3</v>
      </c>
    </row>
    <row r="47" spans="1:19" x14ac:dyDescent="0.3">
      <c r="A47" s="23">
        <v>40</v>
      </c>
      <c r="B47" s="24" t="s">
        <v>94</v>
      </c>
      <c r="C47" s="25" t="s">
        <v>95</v>
      </c>
      <c r="D47" s="26" t="s">
        <v>96</v>
      </c>
      <c r="E47" s="27">
        <v>14500</v>
      </c>
      <c r="F47" s="26">
        <v>237</v>
      </c>
      <c r="G47" s="28">
        <f t="shared" si="15"/>
        <v>34365</v>
      </c>
      <c r="H47" s="28">
        <v>896.1</v>
      </c>
      <c r="I47" s="28">
        <v>6000</v>
      </c>
      <c r="J47" s="28">
        <v>8961</v>
      </c>
      <c r="K47" s="28"/>
      <c r="L47" s="28"/>
      <c r="M47" s="28">
        <f t="shared" si="11"/>
        <v>50222.1</v>
      </c>
      <c r="N47" s="30">
        <v>26</v>
      </c>
      <c r="O47" s="31">
        <f t="shared" si="8"/>
        <v>1305774.5999999999</v>
      </c>
      <c r="P47" s="31">
        <f>Tableau2[[#This Row],[Salaire mensuel en FC]]</f>
        <v>1305774.5999999999</v>
      </c>
      <c r="Q47" s="32">
        <f t="shared" si="3"/>
        <v>195866.18999999997</v>
      </c>
      <c r="R47" s="32">
        <f t="shared" si="4"/>
        <v>235039.42799999996</v>
      </c>
      <c r="S47" s="33">
        <f t="shared" si="5"/>
        <v>39173.237999999998</v>
      </c>
    </row>
    <row r="48" spans="1:19" x14ac:dyDescent="0.3">
      <c r="A48" s="23">
        <v>41</v>
      </c>
      <c r="B48" s="24" t="s">
        <v>97</v>
      </c>
      <c r="C48" s="25" t="s">
        <v>98</v>
      </c>
      <c r="D48" s="26" t="s">
        <v>99</v>
      </c>
      <c r="E48" s="27">
        <v>14500</v>
      </c>
      <c r="F48" s="26">
        <v>551</v>
      </c>
      <c r="G48" s="28">
        <f t="shared" si="15"/>
        <v>79895</v>
      </c>
      <c r="H48" s="28">
        <v>2831.85</v>
      </c>
      <c r="I48" s="28">
        <v>12000</v>
      </c>
      <c r="J48" s="28">
        <v>28318.5</v>
      </c>
      <c r="K48" s="28"/>
      <c r="L48" s="28"/>
      <c r="M48" s="28">
        <f t="shared" si="11"/>
        <v>123045.35</v>
      </c>
      <c r="N48" s="30">
        <v>26</v>
      </c>
      <c r="O48" s="31">
        <f t="shared" si="8"/>
        <v>3199179.1</v>
      </c>
      <c r="P48" s="31">
        <f>Tableau2[[#This Row],[Salaire mensuel en FC]]</f>
        <v>3199179.1</v>
      </c>
      <c r="Q48" s="32">
        <f t="shared" si="3"/>
        <v>479876.86499999999</v>
      </c>
      <c r="R48" s="32">
        <f t="shared" si="4"/>
        <v>575852.23800000001</v>
      </c>
      <c r="S48" s="33">
        <f t="shared" si="5"/>
        <v>95975.373000000007</v>
      </c>
    </row>
    <row r="49" spans="1:19" x14ac:dyDescent="0.3">
      <c r="A49" s="23">
        <v>42</v>
      </c>
      <c r="B49" s="42" t="s">
        <v>100</v>
      </c>
      <c r="C49" s="25" t="s">
        <v>101</v>
      </c>
      <c r="D49" s="26" t="s">
        <v>99</v>
      </c>
      <c r="E49" s="27">
        <v>14500</v>
      </c>
      <c r="F49" s="26">
        <v>551</v>
      </c>
      <c r="G49" s="28">
        <f t="shared" si="15"/>
        <v>79895</v>
      </c>
      <c r="H49" s="28">
        <v>2831.85</v>
      </c>
      <c r="I49" s="28">
        <v>12000</v>
      </c>
      <c r="J49" s="28">
        <v>28318.5</v>
      </c>
      <c r="K49" s="28"/>
      <c r="L49" s="28"/>
      <c r="M49" s="28">
        <f t="shared" si="11"/>
        <v>123045.35</v>
      </c>
      <c r="N49" s="30">
        <v>26</v>
      </c>
      <c r="O49" s="31">
        <f t="shared" si="8"/>
        <v>3199179.1</v>
      </c>
      <c r="P49" s="31">
        <f>Tableau2[[#This Row],[Salaire mensuel en FC]]</f>
        <v>3199179.1</v>
      </c>
      <c r="Q49" s="32">
        <f t="shared" si="3"/>
        <v>479876.86499999999</v>
      </c>
      <c r="R49" s="32">
        <f t="shared" si="4"/>
        <v>575852.23800000001</v>
      </c>
      <c r="S49" s="33">
        <f t="shared" si="5"/>
        <v>95975.373000000007</v>
      </c>
    </row>
    <row r="50" spans="1:19" x14ac:dyDescent="0.3">
      <c r="A50" s="23">
        <v>43</v>
      </c>
      <c r="B50" s="42" t="s">
        <v>102</v>
      </c>
      <c r="C50" s="25" t="s">
        <v>103</v>
      </c>
      <c r="D50" s="26" t="s">
        <v>63</v>
      </c>
      <c r="E50" s="27">
        <v>14500</v>
      </c>
      <c r="F50" s="26">
        <v>116</v>
      </c>
      <c r="G50" s="28">
        <f>E50*F50/100</f>
        <v>16820</v>
      </c>
      <c r="H50" s="28">
        <v>504.6</v>
      </c>
      <c r="I50" s="28">
        <v>6000</v>
      </c>
      <c r="J50" s="28">
        <v>5046</v>
      </c>
      <c r="K50" s="28"/>
      <c r="L50" s="28"/>
      <c r="M50" s="28">
        <f t="shared" si="11"/>
        <v>28370.6</v>
      </c>
      <c r="N50" s="30">
        <v>26</v>
      </c>
      <c r="O50" s="31">
        <f t="shared" si="8"/>
        <v>737635.6</v>
      </c>
      <c r="P50" s="31">
        <f>Tableau2[[#This Row],[Salaire mensuel en FC]]</f>
        <v>737635.6</v>
      </c>
      <c r="Q50" s="32">
        <f t="shared" si="3"/>
        <v>110645.34</v>
      </c>
      <c r="R50" s="32">
        <f t="shared" si="4"/>
        <v>132774.408</v>
      </c>
      <c r="S50" s="33">
        <f t="shared" si="5"/>
        <v>22129.067999999999</v>
      </c>
    </row>
    <row r="51" spans="1:19" x14ac:dyDescent="0.3">
      <c r="A51" s="23">
        <v>44</v>
      </c>
      <c r="B51" s="42" t="s">
        <v>104</v>
      </c>
      <c r="C51" s="25" t="s">
        <v>105</v>
      </c>
      <c r="D51" s="26" t="s">
        <v>93</v>
      </c>
      <c r="E51" s="27">
        <v>14500</v>
      </c>
      <c r="F51" s="26">
        <v>100</v>
      </c>
      <c r="G51" s="28">
        <f t="shared" ref="G51:G53" si="16">E51*F51/100</f>
        <v>14500</v>
      </c>
      <c r="H51" s="28">
        <v>435</v>
      </c>
      <c r="I51" s="28">
        <v>6000</v>
      </c>
      <c r="J51" s="28">
        <v>4350</v>
      </c>
      <c r="K51" s="28"/>
      <c r="L51" s="28"/>
      <c r="M51" s="28">
        <f t="shared" si="11"/>
        <v>25285</v>
      </c>
      <c r="N51" s="30">
        <v>26</v>
      </c>
      <c r="O51" s="31">
        <f t="shared" si="8"/>
        <v>657410</v>
      </c>
      <c r="P51" s="31">
        <f>Tableau2[[#This Row],[Salaire mensuel en FC]]</f>
        <v>657410</v>
      </c>
      <c r="Q51" s="32">
        <f t="shared" si="3"/>
        <v>98611.5</v>
      </c>
      <c r="R51" s="32">
        <f t="shared" si="4"/>
        <v>118333.8</v>
      </c>
      <c r="S51" s="33">
        <f t="shared" si="5"/>
        <v>19722.3</v>
      </c>
    </row>
    <row r="52" spans="1:19" x14ac:dyDescent="0.3">
      <c r="A52" s="23">
        <v>45</v>
      </c>
      <c r="B52" s="42" t="s">
        <v>106</v>
      </c>
      <c r="C52" s="25" t="s">
        <v>107</v>
      </c>
      <c r="D52" s="26" t="s">
        <v>93</v>
      </c>
      <c r="E52" s="27">
        <v>14500</v>
      </c>
      <c r="F52" s="26">
        <v>100</v>
      </c>
      <c r="G52" s="28">
        <f t="shared" si="16"/>
        <v>14500</v>
      </c>
      <c r="H52" s="28">
        <v>435</v>
      </c>
      <c r="I52" s="28">
        <v>6000</v>
      </c>
      <c r="J52" s="28">
        <v>4350</v>
      </c>
      <c r="K52" s="28"/>
      <c r="L52" s="28"/>
      <c r="M52" s="28">
        <f t="shared" si="11"/>
        <v>25285</v>
      </c>
      <c r="N52" s="30">
        <v>26</v>
      </c>
      <c r="O52" s="31">
        <f t="shared" si="8"/>
        <v>657410</v>
      </c>
      <c r="P52" s="31">
        <f>Tableau2[[#This Row],[Salaire mensuel en FC]]</f>
        <v>657410</v>
      </c>
      <c r="Q52" s="32">
        <f t="shared" si="3"/>
        <v>98611.5</v>
      </c>
      <c r="R52" s="32">
        <f t="shared" si="4"/>
        <v>118333.8</v>
      </c>
      <c r="S52" s="33">
        <f t="shared" si="5"/>
        <v>19722.3</v>
      </c>
    </row>
    <row r="53" spans="1:19" x14ac:dyDescent="0.3">
      <c r="A53" s="23">
        <v>46</v>
      </c>
      <c r="B53" s="42" t="s">
        <v>108</v>
      </c>
      <c r="C53" s="25" t="s">
        <v>103</v>
      </c>
      <c r="D53" s="26" t="s">
        <v>63</v>
      </c>
      <c r="E53" s="27">
        <v>14500</v>
      </c>
      <c r="F53" s="26">
        <v>116</v>
      </c>
      <c r="G53" s="28">
        <f t="shared" si="16"/>
        <v>16820</v>
      </c>
      <c r="H53" s="28">
        <v>504.6</v>
      </c>
      <c r="I53" s="28">
        <v>6000</v>
      </c>
      <c r="J53" s="28">
        <v>5046</v>
      </c>
      <c r="K53" s="28"/>
      <c r="L53" s="28"/>
      <c r="M53" s="28">
        <f t="shared" si="11"/>
        <v>28370.6</v>
      </c>
      <c r="N53" s="30">
        <v>26</v>
      </c>
      <c r="O53" s="31">
        <f t="shared" si="8"/>
        <v>737635.6</v>
      </c>
      <c r="P53" s="31">
        <f>Tableau2[[#This Row],[Salaire mensuel en FC]]</f>
        <v>737635.6</v>
      </c>
      <c r="Q53" s="32">
        <f t="shared" si="3"/>
        <v>110645.34</v>
      </c>
      <c r="R53" s="32">
        <f t="shared" si="4"/>
        <v>132774.408</v>
      </c>
      <c r="S53" s="33">
        <f t="shared" si="5"/>
        <v>22129.067999999999</v>
      </c>
    </row>
    <row r="54" spans="1:19" x14ac:dyDescent="0.3">
      <c r="A54" s="23">
        <v>47</v>
      </c>
      <c r="B54" s="42" t="s">
        <v>109</v>
      </c>
      <c r="C54" s="25" t="s">
        <v>82</v>
      </c>
      <c r="D54" s="26" t="s">
        <v>48</v>
      </c>
      <c r="E54" s="27">
        <v>14500</v>
      </c>
      <c r="F54" s="26">
        <v>178</v>
      </c>
      <c r="G54" s="28">
        <f>E54*F54/100</f>
        <v>25810</v>
      </c>
      <c r="H54" s="28">
        <v>896.1</v>
      </c>
      <c r="I54" s="28">
        <v>6000</v>
      </c>
      <c r="J54" s="28">
        <v>8961</v>
      </c>
      <c r="K54" s="28"/>
      <c r="L54" s="28"/>
      <c r="M54" s="28">
        <f t="shared" si="11"/>
        <v>41667.1</v>
      </c>
      <c r="N54" s="30">
        <v>26</v>
      </c>
      <c r="O54" s="31">
        <f t="shared" si="8"/>
        <v>1083344.5999999999</v>
      </c>
      <c r="P54" s="31">
        <f>Tableau2[[#This Row],[Salaire mensuel en FC]]</f>
        <v>1083344.5999999999</v>
      </c>
      <c r="Q54" s="32">
        <f t="shared" si="3"/>
        <v>162501.68999999997</v>
      </c>
      <c r="R54" s="32">
        <f t="shared" si="4"/>
        <v>195002.02799999996</v>
      </c>
      <c r="S54" s="33">
        <f t="shared" si="5"/>
        <v>32500.338</v>
      </c>
    </row>
    <row r="55" spans="1:19" x14ac:dyDescent="0.3">
      <c r="A55" s="23">
        <v>48</v>
      </c>
      <c r="B55" s="42" t="s">
        <v>110</v>
      </c>
      <c r="C55" s="25" t="s">
        <v>111</v>
      </c>
      <c r="D55" s="26" t="s">
        <v>34</v>
      </c>
      <c r="E55" s="27">
        <v>14500</v>
      </c>
      <c r="F55" s="26">
        <v>133</v>
      </c>
      <c r="G55" s="28">
        <f t="shared" ref="G55:G56" si="17">E55*F55/100</f>
        <v>19285</v>
      </c>
      <c r="H55" s="28">
        <v>578.54999999999995</v>
      </c>
      <c r="I55" s="28">
        <v>6000</v>
      </c>
      <c r="J55" s="28">
        <v>5785.5</v>
      </c>
      <c r="K55" s="28"/>
      <c r="L55" s="28"/>
      <c r="M55" s="28">
        <f t="shared" si="11"/>
        <v>31649.05</v>
      </c>
      <c r="N55" s="30">
        <v>26</v>
      </c>
      <c r="O55" s="31">
        <f t="shared" si="8"/>
        <v>822875.29999999993</v>
      </c>
      <c r="P55" s="31">
        <f>Tableau2[[#This Row],[Salaire mensuel en FC]]</f>
        <v>822875.29999999993</v>
      </c>
      <c r="Q55" s="32">
        <f t="shared" si="3"/>
        <v>123431.29499999998</v>
      </c>
      <c r="R55" s="32">
        <f t="shared" si="4"/>
        <v>148117.55399999997</v>
      </c>
      <c r="S55" s="33">
        <f t="shared" si="5"/>
        <v>24686.258999999998</v>
      </c>
    </row>
    <row r="56" spans="1:19" x14ac:dyDescent="0.3">
      <c r="A56" s="23">
        <v>49</v>
      </c>
      <c r="B56" s="42" t="s">
        <v>112</v>
      </c>
      <c r="C56" s="25" t="s">
        <v>113</v>
      </c>
      <c r="D56" s="43" t="s">
        <v>93</v>
      </c>
      <c r="E56" s="27">
        <v>14500</v>
      </c>
      <c r="F56" s="43">
        <v>100</v>
      </c>
      <c r="G56" s="44">
        <f t="shared" si="17"/>
        <v>14500</v>
      </c>
      <c r="H56" s="44">
        <v>578.54999999999995</v>
      </c>
      <c r="I56" s="44">
        <v>6000</v>
      </c>
      <c r="J56" s="44">
        <v>5785.5</v>
      </c>
      <c r="K56" s="44"/>
      <c r="L56" s="44"/>
      <c r="M56" s="44">
        <f t="shared" si="11"/>
        <v>26864.05</v>
      </c>
      <c r="N56" s="45">
        <v>26</v>
      </c>
      <c r="O56" s="46">
        <f t="shared" si="8"/>
        <v>698465.29999999993</v>
      </c>
      <c r="P56" s="46">
        <f>Tableau2[[#This Row],[Salaire mensuel en FC]]</f>
        <v>698465.29999999993</v>
      </c>
      <c r="Q56" s="47">
        <f t="shared" si="3"/>
        <v>104769.79499999998</v>
      </c>
      <c r="R56" s="47">
        <f t="shared" si="4"/>
        <v>125723.75399999999</v>
      </c>
      <c r="S56" s="48">
        <f t="shared" si="5"/>
        <v>20953.958999999999</v>
      </c>
    </row>
    <row r="57" spans="1:19" x14ac:dyDescent="0.3">
      <c r="A57" s="49"/>
      <c r="B57" s="50"/>
      <c r="C57" s="51"/>
      <c r="D57" s="52" t="s">
        <v>17</v>
      </c>
      <c r="E57" s="52"/>
      <c r="F57" s="52"/>
      <c r="G57" s="53">
        <f>SUBTOTAL(109,G9:G56)</f>
        <v>1152895</v>
      </c>
      <c r="H57" s="54">
        <f>SUBTOTAL(109,H9:H56)</f>
        <v>37069.4</v>
      </c>
      <c r="I57" s="54">
        <f>SUBTOTAL(109,I9:I56)</f>
        <v>309000</v>
      </c>
      <c r="J57" s="54">
        <f>SUBTOTAL(109,J9:J56)</f>
        <v>389329.5</v>
      </c>
      <c r="K57" s="54"/>
      <c r="L57" s="54"/>
      <c r="M57" s="54">
        <f t="shared" si="11"/>
        <v>1888293.9</v>
      </c>
      <c r="N57" s="55"/>
      <c r="O57" s="56">
        <f>SUBTOTAL(109,O9:O56)</f>
        <v>49095641.399999991</v>
      </c>
      <c r="P57" s="56">
        <f>Tableau2[[#This Row],[Salaire mensuel en FC]]</f>
        <v>49095641.399999991</v>
      </c>
      <c r="Q57" s="57">
        <f>SUBTOTAL(109,Q9:Q56)</f>
        <v>7364346.21</v>
      </c>
      <c r="R57" s="57">
        <f>SUBTOTAL(109,R9:R56)</f>
        <v>8837215.4519999996</v>
      </c>
      <c r="S57" s="58">
        <f>SUBTOTAL(109,S9:S56)</f>
        <v>1472869.2419999999</v>
      </c>
    </row>
    <row r="58" spans="1:19" ht="15.6" x14ac:dyDescent="0.3">
      <c r="A58" s="59"/>
      <c r="B58" s="60"/>
      <c r="C58" s="61"/>
      <c r="D58" s="43"/>
      <c r="E58" s="43"/>
      <c r="F58" s="43"/>
      <c r="G58" s="62"/>
      <c r="H58" s="62"/>
      <c r="I58" s="62"/>
      <c r="J58" s="62"/>
      <c r="K58" s="62"/>
      <c r="L58" s="62"/>
      <c r="M58" s="62"/>
      <c r="N58" s="63"/>
      <c r="O58" s="46"/>
      <c r="P58" s="46"/>
      <c r="Q58" s="64">
        <f>Q57/2800</f>
        <v>2630.1236464285712</v>
      </c>
      <c r="R58" s="64">
        <f t="shared" ref="R58:S58" si="18">R57/2800</f>
        <v>3156.1483757142855</v>
      </c>
      <c r="S58" s="64">
        <f t="shared" si="18"/>
        <v>526.02472928571422</v>
      </c>
    </row>
    <row r="62" spans="1:19" ht="15.6" x14ac:dyDescent="0.3">
      <c r="C62" s="66"/>
      <c r="D62" s="67" t="s">
        <v>114</v>
      </c>
      <c r="E62" s="3"/>
      <c r="F62" s="3"/>
      <c r="G62" s="3"/>
      <c r="H62" s="3"/>
      <c r="I62" s="3"/>
    </row>
    <row r="63" spans="1:19" x14ac:dyDescent="0.3">
      <c r="C63" s="3"/>
      <c r="D63" s="3"/>
      <c r="E63" s="3"/>
      <c r="F63" s="3"/>
      <c r="G63" s="3"/>
      <c r="H63" s="3"/>
      <c r="I63" s="3"/>
    </row>
    <row r="64" spans="1:19" x14ac:dyDescent="0.3">
      <c r="C64" s="3"/>
      <c r="D64" s="68" t="s">
        <v>115</v>
      </c>
      <c r="E64" s="68"/>
      <c r="F64" s="69">
        <f>Q57</f>
        <v>7364346.21</v>
      </c>
      <c r="G64" s="69"/>
      <c r="H64" s="70">
        <f>F64/2800</f>
        <v>2630.1236464285712</v>
      </c>
      <c r="I64" s="71"/>
      <c r="J64" s="72"/>
    </row>
    <row r="65" spans="3:10" x14ac:dyDescent="0.3">
      <c r="C65" s="3"/>
      <c r="D65" s="68" t="s">
        <v>116</v>
      </c>
      <c r="E65" s="68"/>
      <c r="F65" s="69">
        <f>R57</f>
        <v>8837215.4519999996</v>
      </c>
      <c r="G65" s="69"/>
      <c r="H65" s="70">
        <f>F65/2800</f>
        <v>3156.1483757142855</v>
      </c>
      <c r="I65" s="71"/>
      <c r="J65" s="73">
        <f>H64+H65+H66</f>
        <v>6312.296751428571</v>
      </c>
    </row>
    <row r="66" spans="3:10" x14ac:dyDescent="0.3">
      <c r="C66" s="3"/>
      <c r="D66" s="68" t="s">
        <v>117</v>
      </c>
      <c r="E66" s="68"/>
      <c r="F66" s="69">
        <f>S57</f>
        <v>1472869.2419999999</v>
      </c>
      <c r="G66" s="69"/>
      <c r="H66" s="70">
        <f>F66/2800</f>
        <v>526.02472928571422</v>
      </c>
      <c r="I66" s="71"/>
      <c r="J66" s="72"/>
    </row>
    <row r="67" spans="3:10" x14ac:dyDescent="0.3">
      <c r="C67" s="3"/>
      <c r="D67" s="3"/>
      <c r="E67" s="3"/>
      <c r="F67" s="74"/>
      <c r="G67" s="74"/>
      <c r="H67" s="75"/>
      <c r="I67" s="75"/>
    </row>
    <row r="89" spans="2:2" x14ac:dyDescent="0.3">
      <c r="B89" t="s">
        <v>118</v>
      </c>
    </row>
  </sheetData>
  <mergeCells count="6">
    <mergeCell ref="A5:S5"/>
    <mergeCell ref="F64:G64"/>
    <mergeCell ref="F65:G65"/>
    <mergeCell ref="F66:G66"/>
    <mergeCell ref="F67:G67"/>
    <mergeCell ref="H67:I67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09A8-D367-46AC-AEE7-8D755BB9D618}">
  <dimension ref="A1:G27"/>
  <sheetViews>
    <sheetView workbookViewId="0">
      <selection activeCell="I12" sqref="I12"/>
    </sheetView>
  </sheetViews>
  <sheetFormatPr baseColWidth="10" defaultRowHeight="14.4" x14ac:dyDescent="0.3"/>
  <cols>
    <col min="1" max="1" width="23" customWidth="1"/>
    <col min="6" max="6" width="41" customWidth="1"/>
    <col min="7" max="7" width="32.109375" customWidth="1"/>
  </cols>
  <sheetData>
    <row r="1" spans="1:7" ht="18" x14ac:dyDescent="0.35">
      <c r="A1" s="76" t="s">
        <v>119</v>
      </c>
      <c r="B1" s="76"/>
      <c r="C1" s="76"/>
      <c r="D1" s="76"/>
      <c r="E1" s="76"/>
      <c r="F1" s="76"/>
    </row>
    <row r="2" spans="1:7" ht="18" x14ac:dyDescent="0.35">
      <c r="A2" s="76" t="s">
        <v>120</v>
      </c>
      <c r="B2" s="76"/>
      <c r="C2" s="76"/>
      <c r="D2" s="76"/>
      <c r="E2" s="76"/>
      <c r="F2" s="76"/>
    </row>
    <row r="3" spans="1:7" ht="18" x14ac:dyDescent="0.35">
      <c r="A3" s="76" t="s">
        <v>121</v>
      </c>
      <c r="B3" s="76"/>
      <c r="C3" s="76"/>
      <c r="D3" s="76"/>
      <c r="E3" s="76"/>
      <c r="F3" s="76"/>
    </row>
    <row r="5" spans="1:7" ht="15" thickBot="1" x14ac:dyDescent="0.35"/>
    <row r="6" spans="1:7" ht="15" thickBot="1" x14ac:dyDescent="0.35">
      <c r="A6" s="77" t="s">
        <v>122</v>
      </c>
      <c r="B6" s="78" t="s">
        <v>123</v>
      </c>
      <c r="C6" s="78" t="s">
        <v>124</v>
      </c>
      <c r="D6" s="78" t="s">
        <v>125</v>
      </c>
      <c r="E6" s="78" t="s">
        <v>126</v>
      </c>
      <c r="F6" s="79" t="s">
        <v>127</v>
      </c>
      <c r="G6" s="80" t="s">
        <v>128</v>
      </c>
    </row>
    <row r="7" spans="1:7" x14ac:dyDescent="0.3">
      <c r="A7" s="81" t="s">
        <v>129</v>
      </c>
      <c r="B7" s="82" t="s">
        <v>130</v>
      </c>
      <c r="C7" s="83">
        <v>1</v>
      </c>
      <c r="D7" s="83">
        <v>100</v>
      </c>
      <c r="E7" s="84">
        <v>14500</v>
      </c>
      <c r="F7" s="85" t="s">
        <v>131</v>
      </c>
      <c r="G7" s="86"/>
    </row>
    <row r="8" spans="1:7" ht="15" thickBot="1" x14ac:dyDescent="0.35">
      <c r="A8" s="87"/>
      <c r="B8" s="88" t="s">
        <v>132</v>
      </c>
      <c r="C8" s="89">
        <v>2</v>
      </c>
      <c r="D8" s="89">
        <v>116</v>
      </c>
      <c r="E8" s="90">
        <v>16820</v>
      </c>
      <c r="F8" s="91" t="s">
        <v>133</v>
      </c>
      <c r="G8" s="92"/>
    </row>
    <row r="9" spans="1:7" x14ac:dyDescent="0.3">
      <c r="A9" s="93" t="s">
        <v>134</v>
      </c>
      <c r="B9" s="94">
        <v>0</v>
      </c>
      <c r="C9" s="94">
        <v>3</v>
      </c>
      <c r="D9" s="94">
        <v>133</v>
      </c>
      <c r="E9" s="95">
        <v>19285</v>
      </c>
      <c r="F9" s="96" t="s">
        <v>135</v>
      </c>
      <c r="G9" s="97"/>
    </row>
    <row r="10" spans="1:7" x14ac:dyDescent="0.3">
      <c r="A10" s="98"/>
      <c r="B10" s="99"/>
      <c r="C10" s="99"/>
      <c r="D10" s="99"/>
      <c r="E10" s="100"/>
      <c r="F10" s="101" t="s">
        <v>136</v>
      </c>
      <c r="G10" s="102"/>
    </row>
    <row r="11" spans="1:7" ht="15" thickBot="1" x14ac:dyDescent="0.35">
      <c r="A11" s="103"/>
      <c r="B11" s="104"/>
      <c r="C11" s="104"/>
      <c r="D11" s="104"/>
      <c r="E11" s="105"/>
      <c r="F11" s="106" t="s">
        <v>137</v>
      </c>
      <c r="G11" s="107"/>
    </row>
    <row r="12" spans="1:7" x14ac:dyDescent="0.3">
      <c r="A12" s="93" t="s">
        <v>138</v>
      </c>
      <c r="B12" s="108">
        <v>1</v>
      </c>
      <c r="C12" s="108">
        <v>4</v>
      </c>
      <c r="D12" s="108">
        <v>154</v>
      </c>
      <c r="E12" s="109">
        <v>22330</v>
      </c>
      <c r="F12" s="96" t="s">
        <v>139</v>
      </c>
      <c r="G12" s="86"/>
    </row>
    <row r="13" spans="1:7" x14ac:dyDescent="0.3">
      <c r="A13" s="98"/>
      <c r="B13" s="110">
        <v>2</v>
      </c>
      <c r="C13" s="110">
        <v>5</v>
      </c>
      <c r="D13" s="110">
        <v>178</v>
      </c>
      <c r="E13" s="111">
        <v>25810</v>
      </c>
      <c r="F13" s="101" t="s">
        <v>140</v>
      </c>
      <c r="G13" s="102"/>
    </row>
    <row r="14" spans="1:7" ht="15" thickBot="1" x14ac:dyDescent="0.35">
      <c r="A14" s="103"/>
      <c r="B14" s="112">
        <v>3</v>
      </c>
      <c r="C14" s="112">
        <v>6</v>
      </c>
      <c r="D14" s="112">
        <v>205</v>
      </c>
      <c r="E14" s="113">
        <v>29870</v>
      </c>
      <c r="F14" s="106" t="s">
        <v>141</v>
      </c>
      <c r="G14" s="92"/>
    </row>
    <row r="15" spans="1:7" x14ac:dyDescent="0.3">
      <c r="A15" s="93" t="s">
        <v>142</v>
      </c>
      <c r="B15" s="94">
        <v>1</v>
      </c>
      <c r="C15" s="94">
        <v>7</v>
      </c>
      <c r="D15" s="94">
        <v>237</v>
      </c>
      <c r="E15" s="95">
        <v>34365</v>
      </c>
      <c r="F15" s="96" t="s">
        <v>143</v>
      </c>
      <c r="G15" s="97"/>
    </row>
    <row r="16" spans="1:7" x14ac:dyDescent="0.3">
      <c r="A16" s="98"/>
      <c r="B16" s="114"/>
      <c r="C16" s="114"/>
      <c r="D16" s="114"/>
      <c r="E16" s="115"/>
      <c r="F16" s="101"/>
      <c r="G16" s="102"/>
    </row>
    <row r="17" spans="1:7" x14ac:dyDescent="0.3">
      <c r="A17" s="98"/>
      <c r="B17" s="116">
        <v>2</v>
      </c>
      <c r="C17" s="116">
        <v>8</v>
      </c>
      <c r="D17" s="116">
        <v>274</v>
      </c>
      <c r="E17" s="117">
        <v>39730</v>
      </c>
      <c r="F17" s="101" t="s">
        <v>144</v>
      </c>
      <c r="G17" s="102"/>
    </row>
    <row r="18" spans="1:7" ht="15" thickBot="1" x14ac:dyDescent="0.35">
      <c r="A18" s="103"/>
      <c r="B18" s="104"/>
      <c r="C18" s="104"/>
      <c r="D18" s="104"/>
      <c r="E18" s="105"/>
      <c r="F18" s="106" t="s">
        <v>145</v>
      </c>
      <c r="G18" s="107"/>
    </row>
    <row r="19" spans="1:7" ht="15" thickBot="1" x14ac:dyDescent="0.35">
      <c r="A19" s="118" t="s">
        <v>146</v>
      </c>
      <c r="B19" s="119"/>
      <c r="C19" s="119">
        <v>9</v>
      </c>
      <c r="D19" s="119">
        <v>317</v>
      </c>
      <c r="E19" s="120">
        <v>45965</v>
      </c>
      <c r="F19" s="121" t="s">
        <v>147</v>
      </c>
      <c r="G19" s="122"/>
    </row>
    <row r="20" spans="1:7" x14ac:dyDescent="0.3">
      <c r="A20" s="93" t="s">
        <v>148</v>
      </c>
      <c r="B20" s="108">
        <v>1</v>
      </c>
      <c r="C20" s="108">
        <v>10</v>
      </c>
      <c r="D20" s="108">
        <v>366</v>
      </c>
      <c r="E20" s="109">
        <v>53070</v>
      </c>
      <c r="F20" s="96" t="s">
        <v>149</v>
      </c>
      <c r="G20" s="97"/>
    </row>
    <row r="21" spans="1:7" x14ac:dyDescent="0.3">
      <c r="A21" s="98"/>
      <c r="B21" s="110">
        <v>2</v>
      </c>
      <c r="C21" s="110">
        <v>11</v>
      </c>
      <c r="D21" s="110">
        <v>422</v>
      </c>
      <c r="E21" s="111">
        <v>61190</v>
      </c>
      <c r="F21" s="101" t="s">
        <v>150</v>
      </c>
      <c r="G21" s="102"/>
    </row>
    <row r="22" spans="1:7" x14ac:dyDescent="0.3">
      <c r="A22" s="98"/>
      <c r="B22" s="110">
        <v>3</v>
      </c>
      <c r="C22" s="110">
        <v>12</v>
      </c>
      <c r="D22" s="110">
        <v>488</v>
      </c>
      <c r="E22" s="111">
        <v>70760</v>
      </c>
      <c r="F22" s="101"/>
      <c r="G22" s="102"/>
    </row>
    <row r="23" spans="1:7" ht="15" thickBot="1" x14ac:dyDescent="0.35">
      <c r="A23" s="103"/>
      <c r="B23" s="112">
        <v>4</v>
      </c>
      <c r="C23" s="112">
        <v>13</v>
      </c>
      <c r="D23" s="112">
        <v>554</v>
      </c>
      <c r="E23" s="113">
        <v>81780</v>
      </c>
      <c r="F23" s="106"/>
      <c r="G23" s="107"/>
    </row>
    <row r="24" spans="1:7" x14ac:dyDescent="0.3">
      <c r="A24" s="93" t="s">
        <v>151</v>
      </c>
      <c r="B24" s="108">
        <v>1</v>
      </c>
      <c r="C24" s="108">
        <v>14</v>
      </c>
      <c r="D24" s="108">
        <v>551</v>
      </c>
      <c r="E24" s="109">
        <v>94395</v>
      </c>
      <c r="F24" s="96" t="s">
        <v>152</v>
      </c>
      <c r="G24" s="86"/>
    </row>
    <row r="25" spans="1:7" x14ac:dyDescent="0.3">
      <c r="A25" s="98"/>
      <c r="B25" s="110">
        <v>2</v>
      </c>
      <c r="C25" s="110">
        <v>15</v>
      </c>
      <c r="D25" s="110">
        <v>752</v>
      </c>
      <c r="E25" s="111">
        <v>109040</v>
      </c>
      <c r="F25" s="101"/>
      <c r="G25" s="102"/>
    </row>
    <row r="26" spans="1:7" x14ac:dyDescent="0.3">
      <c r="A26" s="98"/>
      <c r="B26" s="110">
        <v>3</v>
      </c>
      <c r="C26" s="110">
        <v>16</v>
      </c>
      <c r="D26" s="110">
        <v>868</v>
      </c>
      <c r="E26" s="111">
        <v>125860</v>
      </c>
      <c r="F26" s="101" t="s">
        <v>153</v>
      </c>
      <c r="G26" s="102"/>
    </row>
    <row r="27" spans="1:7" ht="15" thickBot="1" x14ac:dyDescent="0.35">
      <c r="A27" s="103"/>
      <c r="B27" s="112">
        <v>4</v>
      </c>
      <c r="C27" s="112">
        <v>17</v>
      </c>
      <c r="D27" s="112">
        <v>1000</v>
      </c>
      <c r="E27" s="113">
        <v>145000</v>
      </c>
      <c r="F27" s="106" t="s">
        <v>154</v>
      </c>
      <c r="G27" s="92"/>
    </row>
  </sheetData>
  <mergeCells count="21">
    <mergeCell ref="A20:A23"/>
    <mergeCell ref="A24:A27"/>
    <mergeCell ref="A12:A14"/>
    <mergeCell ref="A15:A18"/>
    <mergeCell ref="B15:B16"/>
    <mergeCell ref="C15:C16"/>
    <mergeCell ref="D15:D16"/>
    <mergeCell ref="E15:E16"/>
    <mergeCell ref="B17:B18"/>
    <mergeCell ref="C17:C18"/>
    <mergeCell ref="D17:D18"/>
    <mergeCell ref="E17:E18"/>
    <mergeCell ref="A1:F1"/>
    <mergeCell ref="A2:F2"/>
    <mergeCell ref="A3:F3"/>
    <mergeCell ref="A7:A8"/>
    <mergeCell ref="A9:A11"/>
    <mergeCell ref="B9:B11"/>
    <mergeCell ref="C9:C11"/>
    <mergeCell ref="D9:D11"/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SALAIRE ET TAXE </vt:lpstr>
      <vt:lpstr>SMIG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MAKENGO</dc:creator>
  <cp:lastModifiedBy>Eric MAKENGO</cp:lastModifiedBy>
  <dcterms:created xsi:type="dcterms:W3CDTF">2026-03-30T09:57:58Z</dcterms:created>
  <dcterms:modified xsi:type="dcterms:W3CDTF">2026-03-30T10:20:08Z</dcterms:modified>
</cp:coreProperties>
</file>